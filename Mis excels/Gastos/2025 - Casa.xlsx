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 tabRatio="550"/>
  </bookViews>
  <sheets>
    <sheet name="DICIEMBRE 25" sheetId="24" r:id="rId1"/>
    <sheet name="NOVIEMBRE 25" sheetId="23" r:id="rId2"/>
    <sheet name="OCTUBRE 25" sheetId="22" r:id="rId3"/>
    <sheet name="SEPTIEMBRE 25" sheetId="20" r:id="rId4"/>
    <sheet name="AGOSTO 25" sheetId="21" r:id="rId5"/>
    <sheet name="JULIO 25" sheetId="19" r:id="rId6"/>
    <sheet name="JUNIO 25" sheetId="18" r:id="rId7"/>
    <sheet name="MAYO 25" sheetId="17" r:id="rId8"/>
    <sheet name="ABRIL 25" sheetId="16" r:id="rId9"/>
    <sheet name="MARZO 25" sheetId="15" r:id="rId10"/>
    <sheet name="FEBRERO 25" sheetId="5" r:id="rId11"/>
    <sheet name="ENERO 25" sheetId="1" r:id="rId12"/>
    <sheet name="Datos del gráfico" sheetId="2" state="hidden" r:id="rId13"/>
  </sheets>
  <definedNames>
    <definedName name="_xlnm.Print_Titles" localSheetId="11">'ENERO 25'!$16:$17</definedName>
    <definedName name="_xlnm.Print_Titles" localSheetId="10">'FEBRERO 25'!$16:$17</definedName>
    <definedName name="TotalMonthlyExpenses" localSheetId="10">'FEBRERO 25'!$F$9</definedName>
    <definedName name="TotalMonthlyExpenses">'ENERO 25'!$F$9</definedName>
    <definedName name="TotalMonthlyIncome" localSheetId="10">'FEBRERO 25'!$F$6</definedName>
    <definedName name="TotalMonthlyIncome">'ENERO 25'!$F$6</definedName>
    <definedName name="TotalMonthlySavings" localSheetId="10">'FEBRERO 25'!$F$12</definedName>
    <definedName name="TotalMonthlySavings">'ENERO 25'!$F$12</definedName>
    <definedName name="_xlnm.Print_Titles" localSheetId="9">'MARZO 25'!$16:$17</definedName>
    <definedName name="TotalMonthlyExpenses" localSheetId="9">'MARZO 25'!$F$9</definedName>
    <definedName name="TotalMonthlyIncome" localSheetId="9">'MARZO 25'!$F$6</definedName>
    <definedName name="TotalMonthlySavings" localSheetId="9">'MARZO 25'!$F$12</definedName>
    <definedName name="_xlnm.Print_Titles" localSheetId="8">'ABRIL 25'!$16:$17</definedName>
    <definedName name="TotalMonthlyExpenses" localSheetId="8">'ABRIL 25'!$F$9</definedName>
    <definedName name="TotalMonthlyIncome" localSheetId="8">'ABRIL 25'!$F$6</definedName>
    <definedName name="TotalMonthlySavings" localSheetId="8">'ABRIL 25'!$F$12</definedName>
    <definedName name="_xlnm.Print_Titles" localSheetId="7">'MAYO 25'!$16:$17</definedName>
    <definedName name="TotalMonthlyExpenses" localSheetId="7">'MAYO 25'!$F$9</definedName>
    <definedName name="TotalMonthlyIncome" localSheetId="7">'MAYO 25'!$F$6</definedName>
    <definedName name="TotalMonthlySavings" localSheetId="7">'MAYO 25'!$F$12</definedName>
    <definedName name="_xlnm.Print_Titles" localSheetId="6">'JUNIO 25'!$16:$17</definedName>
    <definedName name="TotalMonthlyExpenses" localSheetId="6">'JUNIO 25'!$F$9</definedName>
    <definedName name="TotalMonthlyIncome" localSheetId="6">'JUNIO 25'!$F$6</definedName>
    <definedName name="TotalMonthlySavings" localSheetId="6">'JUNIO 25'!$F$12</definedName>
    <definedName name="_xlnm.Print_Titles" localSheetId="5">'JULIO 25'!$16:$17</definedName>
    <definedName name="TotalMonthlyExpenses" localSheetId="5">'JULIO 25'!$F$9</definedName>
    <definedName name="TotalMonthlyIncome" localSheetId="5">'JULIO 25'!$F$6</definedName>
    <definedName name="TotalMonthlySavings" localSheetId="5">'JULIO 25'!$F$12</definedName>
    <definedName name="_xlnm.Print_Titles" localSheetId="3">'SEPTIEMBRE 25'!$16:$17</definedName>
    <definedName name="TotalMonthlyExpenses" localSheetId="3">'SEPTIEMBRE 25'!$F$9</definedName>
    <definedName name="TotalMonthlyIncome" localSheetId="3">'SEPTIEMBRE 25'!$F$6</definedName>
    <definedName name="TotalMonthlySavings" localSheetId="3">'SEPTIEMBRE 25'!$F$12</definedName>
    <definedName name="_xlnm.Print_Titles" localSheetId="4">'AGOSTO 25'!$16:$17</definedName>
    <definedName name="TotalMonthlyExpenses" localSheetId="4">'AGOSTO 25'!$F$9</definedName>
    <definedName name="TotalMonthlyIncome" localSheetId="4">'AGOSTO 25'!$F$6</definedName>
    <definedName name="TotalMonthlySavings" localSheetId="4">'AGOSTO 25'!$F$12</definedName>
    <definedName name="_xlnm.Print_Titles" localSheetId="2">'OCTUBRE 25'!$16:$17</definedName>
    <definedName name="TotalMonthlyExpenses" localSheetId="2">'OCTUBRE 25'!$F$9</definedName>
    <definedName name="TotalMonthlyIncome" localSheetId="2">'OCTUBRE 25'!$F$6</definedName>
    <definedName name="TotalMonthlySavings" localSheetId="2">'OCTUBRE 25'!$F$12</definedName>
    <definedName name="_xlnm.Print_Titles" localSheetId="1">'NOVIEMBRE 25'!$16:$17</definedName>
    <definedName name="TotalMonthlyExpenses" localSheetId="1">'NOVIEMBRE 25'!$F$9</definedName>
    <definedName name="TotalMonthlyIncome" localSheetId="1">'NOVIEMBRE 25'!$F$6</definedName>
    <definedName name="TotalMonthlySavings" localSheetId="1">'NOVIEMBRE 25'!$F$12</definedName>
    <definedName name="_xlnm.Print_Titles" localSheetId="0">'DICIEMBRE 25'!$16:$17</definedName>
    <definedName name="TotalMonthlyExpenses" localSheetId="0">'DICIEMBRE 25'!$F$9</definedName>
    <definedName name="TotalMonthlyIncome" localSheetId="0">'DICIEMBRE 25'!$F$6</definedName>
    <definedName name="TotalMonthlySavings" localSheetId="0">'DICIEMBRE 25'!$F$12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<sst xmlns="http://schemas.openxmlformats.org/spreadsheetml/2006/main" count="360" uniqueCount="83">
  <si>
    <t>Volver al directorio</t>
  </si>
  <si>
    <t>Presupuesto personal</t>
  </si>
  <si>
    <t xml:space="preserve"> </t>
  </si>
  <si>
    <t>Porcentaje de ingresos gastados</t>
  </si>
  <si>
    <t>Resumen</t>
  </si>
  <si>
    <t>TOTAL INGRESOS MENSUALES</t>
  </si>
  <si>
    <t>TOTAL GASTOS MENSUALES</t>
  </si>
  <si>
    <t>TOTAL AHORROS MENSUALES</t>
  </si>
  <si>
    <t>SALDO DE CUENTA</t>
  </si>
  <si>
    <t>INGRESOS DICIEMBRE</t>
  </si>
  <si>
    <t>GASTOS DICIEMBRE</t>
  </si>
  <si>
    <t>Ahorros mensuales</t>
  </si>
  <si>
    <t>ARTÍCULO</t>
  </si>
  <si>
    <t>CANTIDAD</t>
  </si>
  <si>
    <t>AHORRO ANUAL</t>
  </si>
  <si>
    <t>GASTO ANUAL</t>
  </si>
  <si>
    <t>INGRESO ANUAL</t>
  </si>
  <si>
    <t>Ingreso Irene</t>
  </si>
  <si>
    <t>Alquiler</t>
  </si>
  <si>
    <t>Ingreso Diego</t>
  </si>
  <si>
    <t>Ocio</t>
  </si>
  <si>
    <t>Compra Mercadona</t>
  </si>
  <si>
    <t>IKEA</t>
  </si>
  <si>
    <t>Aerotermia</t>
  </si>
  <si>
    <t>Compra Primor</t>
  </si>
  <si>
    <t>Compra Ahorramás</t>
  </si>
  <si>
    <t>DIGI</t>
  </si>
  <si>
    <t>Compra Lidl</t>
  </si>
  <si>
    <t>Compra Carrefour</t>
  </si>
  <si>
    <t>Compra Alcampo</t>
  </si>
  <si>
    <t>INGRESOS NOVIEMBRE</t>
  </si>
  <si>
    <t>GASTOS NOVIEMBRE</t>
  </si>
  <si>
    <t>FECHA</t>
  </si>
  <si>
    <t>Iberdrola</t>
  </si>
  <si>
    <t>Agua</t>
  </si>
  <si>
    <t>Octopus</t>
  </si>
  <si>
    <t>INGRESOS OCTUBRE</t>
  </si>
  <si>
    <t>GASTOS OCTUBRE</t>
  </si>
  <si>
    <t>Leroy Merlin</t>
  </si>
  <si>
    <t>Gasolina</t>
  </si>
  <si>
    <t>INGRESOS SEPTIEMBRE</t>
  </si>
  <si>
    <t>GASTOS SEPTIEMBRE</t>
  </si>
  <si>
    <t>Pescadería</t>
  </si>
  <si>
    <t>Bocadillo</t>
  </si>
  <si>
    <t>INGRESOS AGOSTO</t>
  </si>
  <si>
    <t>GASTOS AGOSTO</t>
  </si>
  <si>
    <t>Compras varias</t>
  </si>
  <si>
    <t>INGRESOS JULIO</t>
  </si>
  <si>
    <t>GASTOS JULIO</t>
  </si>
  <si>
    <t>Decoración</t>
  </si>
  <si>
    <t>Kebap</t>
  </si>
  <si>
    <t>Frutería</t>
  </si>
  <si>
    <t>INGRESOS JUNIO</t>
  </si>
  <si>
    <t>GASTOS JUNIO</t>
  </si>
  <si>
    <t>Devolución IKEA</t>
  </si>
  <si>
    <t>Muebles y decoración</t>
  </si>
  <si>
    <t>Salmón IKEA</t>
  </si>
  <si>
    <t>McDonald's</t>
  </si>
  <si>
    <t>INGRESOS MAYO</t>
  </si>
  <si>
    <t>GASTOS MAYO</t>
  </si>
  <si>
    <t>INGRESOS ABRIL</t>
  </si>
  <si>
    <t>GASTOS ABRIL</t>
  </si>
  <si>
    <t>Seguro del hogar</t>
  </si>
  <si>
    <t>Mando garaje</t>
  </si>
  <si>
    <t>INGRESOS MARZO</t>
  </si>
  <si>
    <t>GASTOS MARZO</t>
  </si>
  <si>
    <t>INGRESOS FEBRERO</t>
  </si>
  <si>
    <t>GASTOS FEBRERO</t>
  </si>
  <si>
    <t>Mesa</t>
  </si>
  <si>
    <t>Muebles IKEA</t>
  </si>
  <si>
    <t>Sillas</t>
  </si>
  <si>
    <t>Seguro TV</t>
  </si>
  <si>
    <t>Papa John`s</t>
  </si>
  <si>
    <t xml:space="preserve">Felpudo </t>
  </si>
  <si>
    <t>INGRESOS ENERO</t>
  </si>
  <si>
    <t>GASTOS ENERO</t>
  </si>
  <si>
    <t>SALDO CUENTA</t>
  </si>
  <si>
    <t>Mueble salón</t>
  </si>
  <si>
    <t>Mueble baño</t>
  </si>
  <si>
    <t>Seguro televisión</t>
  </si>
  <si>
    <t>Compras decoración casa</t>
  </si>
  <si>
    <t>Sofá</t>
  </si>
  <si>
    <t>DATOS DEL GRÁFICO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</si>
</sst>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\ [$€-40B]"/>
    <numFmt numFmtId="179" formatCode="#,##0&quot;€&quot;"/>
    <numFmt numFmtId="180" formatCode="###,000\ [$€-40B]"/>
    <numFmt numFmtId="181" formatCode="#,##0.00\ [$€-C0A]"/>
    <numFmt numFmtId="182" formatCode="_-* #,##0.00\ &quot;€&quot;_-;\-* #,##0.00\ &quot;€&quot;_-;_-* &quot;-&quot;??\ &quot;€&quot;_-;_-@_-"/>
  </numFmts>
  <fonts count="26">
    <font>
      <sz val="10"/>
      <color theme="3" tint="0.249946592608417"/>
      <name val="Century Gothic"/>
      <charset val="134"/>
      <scheme val="minor"/>
    </font>
    <font>
      <u/>
      <sz val="11"/>
      <color rgb="FF0000FF"/>
      <name val="Century Gothic"/>
      <charset val="0"/>
      <scheme val="minor"/>
    </font>
    <font>
      <sz val="10"/>
      <name val="Century Gothic"/>
      <charset val="134"/>
      <scheme val="minor"/>
    </font>
    <font>
      <sz val="20"/>
      <color theme="0"/>
      <name val="Tahoma"/>
      <charset val="134"/>
      <scheme val="major"/>
    </font>
    <font>
      <sz val="13"/>
      <color theme="3" tint="0.249946592608417"/>
      <name val="Tahoma"/>
      <charset val="134"/>
      <scheme val="major"/>
    </font>
    <font>
      <sz val="10"/>
      <color theme="2" tint="-0.0999786370433668"/>
      <name val="Century Gothic"/>
      <charset val="134"/>
      <scheme val="minor"/>
    </font>
    <font>
      <sz val="10"/>
      <color theme="4"/>
      <name val="Tahoma"/>
      <charset val="134"/>
      <scheme val="major"/>
    </font>
    <font>
      <sz val="24"/>
      <color theme="3" tint="0.249946592608417"/>
      <name val="Century Gothic"/>
      <charset val="134"/>
      <scheme val="minor"/>
    </font>
    <font>
      <sz val="12"/>
      <color theme="4"/>
      <name val="Tahoma"/>
      <charset val="134"/>
      <scheme val="major"/>
    </font>
    <font>
      <b/>
      <sz val="16"/>
      <color theme="3" tint="0.249946592608417"/>
      <name val="Century Gothic"/>
      <charset val="134"/>
      <scheme val="minor"/>
    </font>
    <font>
      <b/>
      <sz val="12"/>
      <color theme="4"/>
      <name val="Tahoma"/>
      <charset val="134"/>
      <scheme val="major"/>
    </font>
    <font>
      <sz val="11"/>
      <color theme="1"/>
      <name val="Century Gothic"/>
      <charset val="134"/>
      <scheme val="minor"/>
    </font>
    <font>
      <u/>
      <sz val="11"/>
      <color rgb="FF800080"/>
      <name val="Century Gothic"/>
      <charset val="0"/>
      <scheme val="minor"/>
    </font>
    <font>
      <sz val="11"/>
      <color rgb="FFFF0000"/>
      <name val="Century Gothic"/>
      <charset val="0"/>
      <scheme val="minor"/>
    </font>
    <font>
      <i/>
      <sz val="11"/>
      <color rgb="FF7F7F7F"/>
      <name val="Century Gothic"/>
      <charset val="0"/>
      <scheme val="minor"/>
    </font>
    <font>
      <sz val="11"/>
      <color rgb="FF3F3F76"/>
      <name val="Century Gothic"/>
      <charset val="0"/>
      <scheme val="minor"/>
    </font>
    <font>
      <b/>
      <sz val="11"/>
      <color rgb="FF3F3F3F"/>
      <name val="Century Gothic"/>
      <charset val="0"/>
      <scheme val="minor"/>
    </font>
    <font>
      <b/>
      <sz val="11"/>
      <color rgb="FFFA7D00"/>
      <name val="Century Gothic"/>
      <charset val="0"/>
      <scheme val="minor"/>
    </font>
    <font>
      <b/>
      <sz val="11"/>
      <color rgb="FFFFFFFF"/>
      <name val="Century Gothic"/>
      <charset val="0"/>
      <scheme val="minor"/>
    </font>
    <font>
      <sz val="11"/>
      <color rgb="FFFA7D00"/>
      <name val="Century Gothic"/>
      <charset val="0"/>
      <scheme val="minor"/>
    </font>
    <font>
      <b/>
      <sz val="11"/>
      <color theme="1"/>
      <name val="Century Gothic"/>
      <charset val="0"/>
      <scheme val="minor"/>
    </font>
    <font>
      <sz val="11"/>
      <color rgb="FF006100"/>
      <name val="Century Gothic"/>
      <charset val="0"/>
      <scheme val="minor"/>
    </font>
    <font>
      <sz val="11"/>
      <color rgb="FF9C0006"/>
      <name val="Century Gothic"/>
      <charset val="0"/>
      <scheme val="minor"/>
    </font>
    <font>
      <sz val="11"/>
      <color rgb="FF9C6500"/>
      <name val="Century Gothic"/>
      <charset val="0"/>
      <scheme val="minor"/>
    </font>
    <font>
      <sz val="11"/>
      <color theme="0"/>
      <name val="Century Gothic"/>
      <charset val="0"/>
      <scheme val="minor"/>
    </font>
    <font>
      <sz val="11"/>
      <color theme="1"/>
      <name val="Century Gothic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48118533890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0999481185338908"/>
        <bgColor indexed="64"/>
      </patternFill>
    </fill>
    <fill>
      <patternFill patternType="solid">
        <fgColor theme="2" tint="-0.0999481185338908"/>
        <bgColor theme="2" tint="-0.0999481185338908"/>
      </patternFill>
    </fill>
    <fill>
      <patternFill patternType="solid">
        <fgColor theme="2" tint="-0.0999481185338908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theme="2" tint="-0.249946592608417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2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4" borderId="0" applyNumberFormat="0" applyBorder="0" applyProtection="0">
      <alignment horizontal="left" vertical="center"/>
    </xf>
    <xf numFmtId="0" fontId="14" fillId="0" borderId="0" applyNumberFormat="0" applyFill="0" applyBorder="0" applyAlignment="0" applyProtection="0">
      <alignment vertical="center"/>
    </xf>
    <xf numFmtId="0" fontId="4" fillId="2" borderId="0" applyNumberFormat="0" applyProtection="0">
      <alignment horizontal="left"/>
    </xf>
    <xf numFmtId="0" fontId="6" fillId="2" borderId="1" applyNumberFormat="0" applyAlignment="0" applyProtection="0"/>
    <xf numFmtId="178" fontId="7" fillId="2" borderId="0" applyAlignment="0" applyProtection="0"/>
    <xf numFmtId="0" fontId="3" fillId="4" borderId="0" applyNumberFormat="0" applyBorder="0" applyAlignment="0" applyProtection="0"/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4" fillId="2" borderId="0" applyNumberFormat="0" applyAlignment="0" applyProtection="0"/>
    <xf numFmtId="179" fontId="7" fillId="2" borderId="0" applyAlignment="0" applyProtection="0"/>
  </cellStyleXfs>
  <cellXfs count="27">
    <xf numFmtId="0" fontId="0" fillId="2" borderId="0" xfId="0"/>
    <xf numFmtId="0" fontId="1" fillId="2" borderId="0" xfId="6" applyFill="1" applyAlignment="1"/>
    <xf numFmtId="9" fontId="2" fillId="2" borderId="0" xfId="0" applyNumberFormat="1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4" borderId="0" xfId="10" applyBorder="1">
      <alignment horizontal="left" vertical="center"/>
    </xf>
    <xf numFmtId="0" fontId="0" fillId="2" borderId="0" xfId="0" applyAlignment="1">
      <alignment horizontal="left" vertical="center"/>
    </xf>
    <xf numFmtId="0" fontId="0" fillId="2" borderId="0" xfId="0" applyAlignment="1">
      <alignment horizontal="left"/>
    </xf>
    <xf numFmtId="180" fontId="0" fillId="2" borderId="0" xfId="0" applyNumberFormat="1" applyAlignment="1">
      <alignment horizontal="left"/>
    </xf>
    <xf numFmtId="58" fontId="0" fillId="2" borderId="0" xfId="0" applyNumberFormat="1" applyAlignment="1">
      <alignment horizontal="left"/>
    </xf>
    <xf numFmtId="0" fontId="1" fillId="3" borderId="0" xfId="6" applyFill="1" applyAlignment="1">
      <alignment horizontal="left" vertical="center"/>
    </xf>
    <xf numFmtId="0" fontId="4" fillId="2" borderId="0" xfId="12">
      <alignment horizontal="left"/>
    </xf>
    <xf numFmtId="0" fontId="5" fillId="2" borderId="0" xfId="0" applyFont="1" applyAlignment="1">
      <alignment horizontal="left" vertical="center"/>
    </xf>
    <xf numFmtId="0" fontId="6" fillId="2" borderId="1" xfId="13" applyAlignment="1"/>
    <xf numFmtId="178" fontId="7" fillId="2" borderId="0" xfId="14" applyAlignment="1">
      <alignment horizontal="left" vertical="top"/>
    </xf>
    <xf numFmtId="9" fontId="0" fillId="2" borderId="0" xfId="0" applyNumberFormat="1" applyAlignment="1">
      <alignment vertical="center"/>
    </xf>
    <xf numFmtId="0" fontId="6" fillId="2" borderId="1" xfId="13" applyAlignment="1">
      <alignment horizontal="left" vertical="center"/>
    </xf>
    <xf numFmtId="0" fontId="0" fillId="2" borderId="0" xfId="0" applyAlignment="1">
      <alignment horizontal="left" vertical="center" wrapText="1"/>
    </xf>
    <xf numFmtId="181" fontId="0" fillId="2" borderId="0" xfId="0" applyNumberFormat="1" applyAlignment="1">
      <alignment horizontal="left" vertical="center"/>
    </xf>
    <xf numFmtId="180" fontId="0" fillId="2" borderId="0" xfId="0" applyNumberFormat="1" applyAlignment="1">
      <alignment horizontal="left" vertical="center"/>
    </xf>
    <xf numFmtId="180" fontId="5" fillId="2" borderId="0" xfId="0" applyNumberFormat="1" applyFont="1" applyAlignment="1">
      <alignment horizontal="left" vertical="center"/>
    </xf>
    <xf numFmtId="181" fontId="0" fillId="5" borderId="2" xfId="0" applyNumberFormat="1" applyFill="1" applyBorder="1" applyAlignment="1">
      <alignment horizontal="left" vertical="center"/>
    </xf>
    <xf numFmtId="58" fontId="0" fillId="2" borderId="0" xfId="0" applyNumberFormat="1" applyAlignment="1">
      <alignment horizontal="left" vertical="center"/>
    </xf>
    <xf numFmtId="0" fontId="0" fillId="2" borderId="0" xfId="0" applyAlignment="1">
      <alignment vertical="center"/>
    </xf>
    <xf numFmtId="0" fontId="8" fillId="2" borderId="1" xfId="13" applyFont="1" applyAlignment="1">
      <alignment horizontal="left" vertical="center"/>
    </xf>
    <xf numFmtId="182" fontId="9" fillId="2" borderId="0" xfId="0" applyNumberFormat="1" applyFont="1" applyAlignment="1">
      <alignment horizontal="left" vertical="center"/>
    </xf>
    <xf numFmtId="0" fontId="10" fillId="6" borderId="1" xfId="13" applyFont="1" applyFill="1" applyBorder="1" applyAlignment="1">
      <alignment horizontal="left" vertical="center"/>
    </xf>
    <xf numFmtId="178" fontId="9" fillId="2" borderId="0" xfId="0" applyNumberFormat="1" applyFont="1" applyAlignment="1">
      <alignment horizontal="left" vertical="center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ncabezado 1 2" xfId="49"/>
    <cellStyle name="Título 3 2" xfId="50"/>
  </cellStyles>
  <dxfs count="18">
    <dxf>
      <numFmt numFmtId="182" formatCode="_-* #,##0.00\ &quot;€&quot;_-;\-* #,##0.00\ &quot;€&quot;_-;_-* &quot;-&quot;??\ &quot;€&quot;_-;_-@_-"/>
      <alignment horizontal="left" vertical="center"/>
    </dxf>
    <dxf>
      <font>
        <color rgb="FFFF0000"/>
      </font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numFmt numFmtId="58" formatCode="dd/mm/yyyy"/>
      <alignment horizontal="left" vertical="center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</dxfs>
  <tableStyles count="2" defaultTableStyle="TableStyleMedium2" defaultPivotStyle="PivotStyleLight16">
    <tableStyle name="Personal budget table" pivot="0" count="3" xr9:uid="{FB9520E0-734B-4993-A48B-F54F0F1C6AB2}">
      <tableStyleElement type="wholeTable" dxfId="14"/>
      <tableStyleElement type="headerRow" dxfId="13"/>
      <tableStyleElement type="totalRow" dxfId="12"/>
    </tableStyle>
    <tableStyle name="Tabla de presupuesto personal" pivot="0" count="3" xr9:uid="{94077367-B582-4723-8CAC-3472435B0841}">
      <tableStyleElement type="wholeTable" dxfId="17"/>
      <tableStyleElement type="headerRow" dxfId="16"/>
      <tableStyleElement type="totalRow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1834961997829"/>
                  <c:y val="-0.021721401988809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1223.8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25'!$F$6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25'!$F$9</c:f>
              <c:numCache>
                <c:formatCode>#,##0\ [$€-40B]</c:formatCode>
                <c:ptCount val="1"/>
                <c:pt idx="0">
                  <c:v>1223.8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1834961997829"/>
                  <c:y val="-0.021721401988809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1275.2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25'!$F$6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25'!$F$9</c:f>
              <c:numCache>
                <c:formatCode>#,##0\ [$€-40B]</c:formatCode>
                <c:ptCount val="1"/>
                <c:pt idx="0">
                  <c:v>1275.2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1834961997829"/>
                  <c:y val="-0.021721401988809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1347.71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25'!$F$6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25'!$F$9</c:f>
              <c:numCache>
                <c:formatCode>#,##0\ [$€-40B]</c:formatCode>
                <c:ptCount val="1"/>
                <c:pt idx="0">
                  <c:v>1347.71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32102786825914"/>
                  <c:y val="0.014295886309574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1048.49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25'!$F$6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25'!$F$9</c:f>
              <c:numCache>
                <c:formatCode>#,##0\ [$€-40B]</c:formatCode>
                <c:ptCount val="1"/>
                <c:pt idx="0">
                  <c:v>1048.49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76438653637351"/>
                  <c:y val="0.0053315834441990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1245.11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25'!$F$6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25'!$F$9</c:f>
              <c:numCache>
                <c:formatCode>#,##0\ [$€-40B]</c:formatCode>
                <c:ptCount val="1"/>
                <c:pt idx="0">
                  <c:v>1245.11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2898481199577"/>
                  <c:y val="0.0053315834441986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1259.1</c:v>
                </c:pt>
                <c:pt idx="3">
                  <c:v>0</c:v>
                </c:pt>
                <c:pt idx="5" c:formatCode="#,##0\ [$€-40B]">
                  <c:v>1296.7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25'!$F$6</c:f>
              <c:numCache>
                <c:formatCode>#,##0\ [$€-40B]</c:formatCode>
                <c:ptCount val="1"/>
                <c:pt idx="0">
                  <c:v>1259.1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25'!$F$9</c:f>
              <c:numCache>
                <c:formatCode>#,##0\ [$€-40B]</c:formatCode>
                <c:ptCount val="1"/>
                <c:pt idx="0">
                  <c:v>1296.7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6336772911484"/>
                  <c:y val="0.02559158229974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1344.72</c:v>
                </c:pt>
                <c:pt idx="3">
                  <c:v>0</c:v>
                </c:pt>
                <c:pt idx="5" c:formatCode="#,##0\ [$€-40B]">
                  <c:v>1166.67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25'!$F$6</c:f>
              <c:numCache>
                <c:formatCode>#,##0\ [$€-40B]</c:formatCode>
                <c:ptCount val="1"/>
                <c:pt idx="0">
                  <c:v>1344.72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25'!$F$9</c:f>
              <c:numCache>
                <c:formatCode>#,##0\ [$€-40B]</c:formatCode>
                <c:ptCount val="1"/>
                <c:pt idx="0">
                  <c:v>1166.67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38964351630268"/>
                  <c:y val="-0.00754432293476556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1391.94</c:v>
                </c:pt>
                <c:pt idx="3">
                  <c:v>0</c:v>
                </c:pt>
                <c:pt idx="5" c:formatCode="#,##0\ [$€-40B]">
                  <c:v>1294.62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25'!$F$6</c:f>
              <c:numCache>
                <c:formatCode>#,##0\ [$€-40B]</c:formatCode>
                <c:ptCount val="1"/>
                <c:pt idx="0">
                  <c:v>1391.94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25'!$F$9</c:f>
              <c:numCache>
                <c:formatCode>#,##0\ [$€-40B]</c:formatCode>
                <c:ptCount val="1"/>
                <c:pt idx="0">
                  <c:v>1294.62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78774962965209"/>
                  <c:y val="-0.0165086258001406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1300.08</c:v>
                </c:pt>
                <c:pt idx="3">
                  <c:v>0</c:v>
                </c:pt>
                <c:pt idx="5" c:formatCode="#,##0\ [$€-40B]">
                  <c:v>1458.99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25'!$F$6</c:f>
              <c:numCache>
                <c:formatCode>#,##0\ [$€-40B]</c:formatCode>
                <c:ptCount val="1"/>
                <c:pt idx="0">
                  <c:v>1300.08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25'!$F$9</c:f>
              <c:numCache>
                <c:formatCode>#,##0\ [$€-40B]</c:formatCode>
                <c:ptCount val="1"/>
                <c:pt idx="0">
                  <c:v>1458.99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936373349261"/>
                  <c:y val="0.023702545688638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1668</c:v>
                </c:pt>
                <c:pt idx="3">
                  <c:v>0</c:v>
                </c:pt>
                <c:pt idx="5" c:formatCode="#,##0\ [$€-40B]">
                  <c:v>1411.01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25'!$F$6</c:f>
              <c:numCache>
                <c:formatCode>#,##0\ [$€-40B]</c:formatCode>
                <c:ptCount val="1"/>
                <c:pt idx="0">
                  <c:v>1668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25'!$F$9</c:f>
              <c:numCache>
                <c:formatCode>#,##0\ [$€-40B]</c:formatCode>
                <c:ptCount val="1"/>
                <c:pt idx="0">
                  <c:v>1411.01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476738977822"/>
                  <c:y val="-0.0321335101474169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1937.5</c:v>
                </c:pt>
                <c:pt idx="3">
                  <c:v>0</c:v>
                </c:pt>
                <c:pt idx="5" c:formatCode="#,##0\ [$€-40B]">
                  <c:v>2258.28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25'!$F$6</c:f>
              <c:numCache>
                <c:formatCode>#,##0\ [$€-40B]</c:formatCode>
                <c:ptCount val="1"/>
                <c:pt idx="0">
                  <c:v>1937.5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25'!$F$9</c:f>
              <c:numCache>
                <c:formatCode>#,##0\ [$€-40B]</c:formatCode>
                <c:ptCount val="1"/>
                <c:pt idx="0">
                  <c:v>2258.28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80527742438878"/>
                  <c:y val="-0.064380206573218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2639594757047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2490</c:v>
                </c:pt>
                <c:pt idx="3">
                  <c:v>0</c:v>
                </c:pt>
                <c:pt idx="5" c:formatCode="#,##0\ [$€-40B]">
                  <c:v>3218.95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29c86b-8f8f-4bdf-ba38-f9e62c74c9a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25'!$F$6</c:f>
              <c:numCache>
                <c:formatCode>#,##0\ [$€-40B]</c:formatCode>
                <c:ptCount val="1"/>
                <c:pt idx="0">
                  <c:v>2490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25'!$F$9</c:f>
              <c:numCache>
                <c:formatCode>#,##0\ [$€-40B]</c:formatCode>
                <c:ptCount val="1"/>
                <c:pt idx="0">
                  <c:v>3218.95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6ead66-1b99-4374-84a5-e869bceb0e8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452995" y="1106170"/>
        <a:ext cx="3181985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2</xdr:row>
      <xdr:rowOff>177165</xdr:rowOff>
    </xdr:from>
    <xdr:to>
      <xdr:col>4</xdr:col>
      <xdr:colOff>172720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12700" y="758190"/>
        <a:ext cx="352742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9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179070</xdr:rowOff>
    </xdr:to>
    <xdr:graphicFrame>
      <xdr:nvGraphicFramePr>
        <xdr:cNvPr id="4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7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2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4" name="MonthlyIncome7_41013172023293235" displayName="MonthlyIncome7_41013172023293235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.xml><?xml version="1.0" encoding="utf-8"?>
<table xmlns="http://schemas.openxmlformats.org/spreadsheetml/2006/main" id="35" name="MonthlyExpenses8_51114161922283136" displayName="MonthlyExpenses8_51114161922283136" ref="E17:F28" totalsRowShown="0">
  <autoFilter xmlns:etc="http://www.wps.cn/officeDocument/2017/etCustomData" ref="E17:F28" etc:filterBottomFollowUsedRange="0"/>
  <sortState ref="E17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.xml><?xml version="1.0" encoding="utf-8"?>
<table xmlns="http://schemas.openxmlformats.org/spreadsheetml/2006/main" id="36" name="Savings9_2761215182124303334" displayName="Savings9_2761215182124303334" ref="H17:H18" totalsRowShown="0">
  <autoFilter xmlns:etc="http://www.wps.cn/officeDocument/2017/etCustomData" ref="H17:H18" etc:filterBottomFollowUsedRange="0"/>
  <tableColumns count="1">
    <tableColumn id="1" name="AHORRO ANUAL" dataDxfId="0"/>
  </tableColumns>
  <tableStyleInfo name="Personal budget table" showFirstColumn="0" showLastColumn="0" showRowStripes="1" showColumnStripes="0"/>
</table>
</file>

<file path=xl/tables/table4.xml><?xml version="1.0" encoding="utf-8"?>
<table xmlns="http://schemas.openxmlformats.org/spreadsheetml/2006/main" id="30" name="MonthlyExpenses8_511141619222831" displayName="MonthlyExpenses8_511141619222831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5.xml><?xml version="1.0" encoding="utf-8"?>
<table xmlns="http://schemas.openxmlformats.org/spreadsheetml/2006/main" id="31" name="MonthlyIncome7_410131720232932" displayName="MonthlyIncome7_410131720232932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6.xml><?xml version="1.0" encoding="utf-8"?>
<table xmlns="http://schemas.openxmlformats.org/spreadsheetml/2006/main" id="32" name="Savings9_612151821243033" displayName="Savings9_612151821243033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7.xml><?xml version="1.0" encoding="utf-8"?>
<table xmlns="http://schemas.openxmlformats.org/spreadsheetml/2006/main" id="27" name="MonthlyExpenses8_5111416192228" displayName="MonthlyExpenses8_5111416192228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8.xml><?xml version="1.0" encoding="utf-8"?>
<table xmlns="http://schemas.openxmlformats.org/spreadsheetml/2006/main" id="28" name="MonthlyIncome7_4101317202329" displayName="MonthlyIncome7_4101317202329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9.xml><?xml version="1.0" encoding="utf-8"?>
<table xmlns="http://schemas.openxmlformats.org/spreadsheetml/2006/main" id="29" name="Savings9_6121518212430" displayName="Savings9_6121518212430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0.xml><?xml version="1.0" encoding="utf-8"?>
<table xmlns="http://schemas.openxmlformats.org/spreadsheetml/2006/main" id="21" name="MonthlyExpenses8_51114161922" displayName="MonthlyExpenses8_51114161922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1.xml><?xml version="1.0" encoding="utf-8"?>
<table xmlns="http://schemas.openxmlformats.org/spreadsheetml/2006/main" id="22" name="MonthlyIncome7_41013172023" displayName="MonthlyIncome7_41013172023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2.xml><?xml version="1.0" encoding="utf-8"?>
<table xmlns="http://schemas.openxmlformats.org/spreadsheetml/2006/main" id="23" name="Savings9_61215182124" displayName="Savings9_61215182124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3.xml><?xml version="1.0" encoding="utf-8"?>
<table xmlns="http://schemas.openxmlformats.org/spreadsheetml/2006/main" id="24" name="MonthlyExpenses8_5111416192225" displayName="MonthlyExpenses8_5111416192225" ref="E17:F24" totalsRowShown="0">
  <autoFilter xmlns:etc="http://www.wps.cn/officeDocument/2017/etCustomData" ref="E17:F24" etc:filterBottomFollowUsedRange="0"/>
  <sortState ref="E17:F24">
    <sortCondition ref="F17:F24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4.xml><?xml version="1.0" encoding="utf-8"?>
<table xmlns="http://schemas.openxmlformats.org/spreadsheetml/2006/main" id="25" name="MonthlyIncome7_4101317202326" displayName="MonthlyIncome7_4101317202326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5.xml><?xml version="1.0" encoding="utf-8"?>
<table xmlns="http://schemas.openxmlformats.org/spreadsheetml/2006/main" id="26" name="Savings9_6121518212427" displayName="Savings9_6121518212427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6.xml><?xml version="1.0" encoding="utf-8"?>
<table xmlns="http://schemas.openxmlformats.org/spreadsheetml/2006/main" id="18" name="MonthlyExpenses8_511141619" displayName="MonthlyExpenses8_511141619" ref="E17:F28" totalsRowShown="0">
  <autoFilter xmlns:etc="http://www.wps.cn/officeDocument/2017/etCustomData" ref="E17:F28" etc:filterBottomFollowUsedRange="0"/>
  <sortState ref="E17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7.xml><?xml version="1.0" encoding="utf-8"?>
<table xmlns="http://schemas.openxmlformats.org/spreadsheetml/2006/main" id="19" name="MonthlyIncome7_410131720" displayName="MonthlyIncome7_410131720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8.xml><?xml version="1.0" encoding="utf-8"?>
<table xmlns="http://schemas.openxmlformats.org/spreadsheetml/2006/main" id="20" name="Savings9_612151821" displayName="Savings9_612151821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9.xml><?xml version="1.0" encoding="utf-8"?>
<table xmlns="http://schemas.openxmlformats.org/spreadsheetml/2006/main" id="15" name="MonthlyExpenses8_5111416" displayName="MonthlyExpenses8_5111416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0.xml><?xml version="1.0" encoding="utf-8"?>
<table xmlns="http://schemas.openxmlformats.org/spreadsheetml/2006/main" id="16" name="MonthlyIncome7_4101317" displayName="MonthlyIncome7_4101317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1.xml><?xml version="1.0" encoding="utf-8"?>
<table xmlns="http://schemas.openxmlformats.org/spreadsheetml/2006/main" id="17" name="Savings9_6121518" displayName="Savings9_6121518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2.xml><?xml version="1.0" encoding="utf-8"?>
<table xmlns="http://schemas.openxmlformats.org/spreadsheetml/2006/main" id="12" name="MonthlyIncome7_41013" displayName="MonthlyIncome7_41013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3.xml><?xml version="1.0" encoding="utf-8"?>
<table xmlns="http://schemas.openxmlformats.org/spreadsheetml/2006/main" id="13" name="MonthlyExpenses8_51114" displayName="MonthlyExpenses8_51114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4.xml><?xml version="1.0" encoding="utf-8"?>
<table xmlns="http://schemas.openxmlformats.org/spreadsheetml/2006/main" id="14" name="Savings9_61215" displayName="Savings9_61215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5.xml><?xml version="1.0" encoding="utf-8"?>
<table xmlns="http://schemas.openxmlformats.org/spreadsheetml/2006/main" id="9" name="MonthlyIncome7_410" displayName="MonthlyIncome7_410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6.xml><?xml version="1.0" encoding="utf-8"?>
<table xmlns="http://schemas.openxmlformats.org/spreadsheetml/2006/main" id="10" name="MonthlyExpenses8_511" displayName="MonthlyExpenses8_511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7.xml><?xml version="1.0" encoding="utf-8"?>
<table xmlns="http://schemas.openxmlformats.org/spreadsheetml/2006/main" id="11" name="Savings9_612" displayName="Savings9_612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8.xml><?xml version="1.0" encoding="utf-8"?>
<table xmlns="http://schemas.openxmlformats.org/spreadsheetml/2006/main" id="3" name="MonthlyIncome7_4" displayName="MonthlyIncome7_4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9.xml><?xml version="1.0" encoding="utf-8"?>
<table xmlns="http://schemas.openxmlformats.org/spreadsheetml/2006/main" id="4" name="MonthlyExpenses8_5" displayName="MonthlyExpenses8_5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0.xml><?xml version="1.0" encoding="utf-8"?>
<table xmlns="http://schemas.openxmlformats.org/spreadsheetml/2006/main" id="5" name="Savings9_6" displayName="Savings9_6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31.xml><?xml version="1.0" encoding="utf-8"?>
<table xmlns="http://schemas.openxmlformats.org/spreadsheetml/2006/main" id="6" name="MonthlyIncome7" displayName="MonthlyIncome7" ref="B17:C20" totalsRowShown="0">
  <autoFilter xmlns:etc="http://www.wps.cn/officeDocument/2017/etCustomData" ref="B17:C20" etc:filterBottomFollowUsedRange="0"/>
  <tableColumns count="2">
    <tableColumn id="1" name="ARTÍCULO" dataDxfId="2"/>
    <tableColumn id="2" name="CANTIDAD" dataDxfId="3"/>
  </tableColumns>
  <tableStyleInfo name="Personal budget table" showFirstColumn="0" showLastColumn="0" showRowStripes="1" showColumnStripes="0"/>
</table>
</file>

<file path=xl/tables/table32.xml><?xml version="1.0" encoding="utf-8"?>
<table xmlns="http://schemas.openxmlformats.org/spreadsheetml/2006/main" id="7" name="MonthlyExpenses8" displayName="MonthlyExpenses8" ref="E17:F30" totalsRowShown="0">
  <autoFilter xmlns:etc="http://www.wps.cn/officeDocument/2017/etCustomData" ref="E17:F30" etc:filterBottomFollowUsedRange="0"/>
  <sortState ref="E17:F30">
    <sortCondition ref="F17" descending="1"/>
  </sortState>
  <tableColumns count="2">
    <tableColumn id="1" name="ARTÍCULO" dataDxfId="4"/>
    <tableColumn id="3" name="CANTIDAD" dataDxfId="5"/>
  </tableColumns>
  <tableStyleInfo name="Personal budget table" showFirstColumn="0" showLastColumn="0" showRowStripes="1" showColumnStripes="0"/>
</table>
</file>

<file path=xl/tables/table33.xml><?xml version="1.0" encoding="utf-8"?>
<table xmlns="http://schemas.openxmlformats.org/spreadsheetml/2006/main" id="8" name="Savings9" displayName="Savings9" ref="H17:I20" totalsRowShown="0">
  <autoFilter xmlns:etc="http://www.wps.cn/officeDocument/2017/etCustomData" ref="H17:I20" etc:filterBottomFollowUsedRange="0"/>
  <tableColumns count="2">
    <tableColumn id="1" name="FECHA" dataDxfId="6"/>
    <tableColumn id="2" name="CANTIDAD" dataDxfId="7"/>
  </tableColumns>
  <tableStyleInfo name="Personal budget table" showFirstColumn="0" showLastColumn="0" showRowStripes="1" showColumnStripes="0"/>
</table>
</file>

<file path=xl/tables/table34.xml><?xml version="1.0" encoding="utf-8"?>
<table xmlns="http://schemas.openxmlformats.org/spreadsheetml/2006/main" id="1" name="MonthlyIncome" displayName="MonthlyIncome" ref="B17:C20" totalsRowShown="0">
  <autoFilter xmlns:etc="http://www.wps.cn/officeDocument/2017/etCustomData" ref="B17:C20" etc:filterBottomFollowUsedRange="0"/>
  <tableColumns count="2">
    <tableColumn id="1" name="ARTÍCULO" dataDxfId="8"/>
    <tableColumn id="2" name="CANTIDAD" dataDxfId="9"/>
  </tableColumns>
  <tableStyleInfo name="Personal budget table" showFirstColumn="0" showLastColumn="0" showRowStripes="1" showColumnStripes="0"/>
</table>
</file>

<file path=xl/tables/table35.xml><?xml version="1.0" encoding="utf-8"?>
<table xmlns="http://schemas.openxmlformats.org/spreadsheetml/2006/main" id="2" name="MonthlyExpenses" displayName="MonthlyExpenses" ref="E17:F30" totalsRowShown="0">
  <autoFilter xmlns:etc="http://www.wps.cn/officeDocument/2017/etCustomData" ref="E17:F30" etc:filterBottomFollowUsedRange="0"/>
  <sortState ref="E17:F30">
    <sortCondition ref="F17" descending="1"/>
  </sortState>
  <tableColumns count="2">
    <tableColumn id="1" name="ARTÍCULO" dataDxfId="10"/>
    <tableColumn id="3" name="CANTIDAD" dataDxfId="11"/>
  </tableColumns>
  <tableStyleInfo name="Personal budget table" showFirstColumn="0" showLastColumn="0" showRowStripes="1" showColumnStripes="0"/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8.xml"/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1.xml"/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4.xml"/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0.xml"/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3.xml"/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M29"/>
  <sheetViews>
    <sheetView showGridLines="0" tabSelected="1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25.4285714285714" style="6" customWidth="1"/>
    <col min="6" max="6" width="15.6666666666667" style="8" customWidth="1"/>
    <col min="7" max="7" width="15.6666666666667" style="7" customWidth="1"/>
    <col min="8" max="8" width="18.5714285714286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2" width="9.16190476190476" style="6"/>
    <col min="13" max="13" width="14.2857142857143" style="6"/>
    <col min="14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SUM(MonthlyIncome7_41013172023293235[CANTIDAD])</f>
        <v>1250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SUM(MonthlyExpenses8_51114161922283136[CANTIDAD])</f>
        <v>1223.8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'DICIEMBRE 25'!TotalMonthlyIncome-'DICIEMBRE 25'!TotalMonthlyExpenses</f>
        <v>26.2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SUM('NOVIEMBRE 25'!F15+'DICIEMBRE 25'!TotalMonthlySavings)</f>
        <v>1432.45</v>
      </c>
      <c r="G15" s="13"/>
    </row>
    <row r="16" s="5" customFormat="1" ht="31.5" customHeight="1" spans="2:10">
      <c r="B16" s="10" t="s">
        <v>9</v>
      </c>
      <c r="C16" s="10"/>
      <c r="D16"/>
      <c r="E16" s="10" t="s">
        <v>10</v>
      </c>
      <c r="F16" s="10"/>
      <c r="G16" s="10"/>
      <c r="H16"/>
      <c r="I16" s="10" t="s">
        <v>11</v>
      </c>
      <c r="J16" s="10"/>
    </row>
    <row r="17" s="5" customFormat="1" ht="39.75" customHeight="1" spans="2:13">
      <c r="B17" s="15" t="s">
        <v>12</v>
      </c>
      <c r="C17" s="15" t="s">
        <v>13</v>
      </c>
      <c r="E17" s="15" t="s">
        <v>12</v>
      </c>
      <c r="F17" s="15" t="s">
        <v>13</v>
      </c>
      <c r="H17" s="23" t="s">
        <v>14</v>
      </c>
      <c r="J17" s="25" t="s">
        <v>15</v>
      </c>
      <c r="M17" s="25" t="s">
        <v>16</v>
      </c>
    </row>
    <row r="18" ht="28" customHeight="1" spans="1:13">
      <c r="A18" s="5"/>
      <c r="B18" s="16" t="s">
        <v>17</v>
      </c>
      <c r="C18" s="17">
        <v>750</v>
      </c>
      <c r="D18" s="5"/>
      <c r="E18" s="16" t="s">
        <v>18</v>
      </c>
      <c r="F18" s="17">
        <v>774.08</v>
      </c>
      <c r="G18" s="5"/>
      <c r="H18" s="24">
        <f>SUM('ENERO 25'!F12,'FEBRERO 25'!F12,'MARZO 25'!F12,'ABRIL 25'!F12,'MAYO 25'!F12,'JUNIO 25'!F12,'JULIO 25'!F12,'AGOSTO 25'!F12,'SEPTIEMBRE 25'!F12,'OCTUBRE 25'!F12,'NOVIEMBRE 25'!F12,F12)</f>
        <v>-604.19</v>
      </c>
      <c r="I18" s="6"/>
      <c r="J18" s="26">
        <f>SUM('ENERO 25'!F9,'FEBRERO 25'!F9,'MARZO 25'!F9,'ABRIL 25'!F9,'MAYO 25'!F9,'JUNIO 25'!F9,'JULIO 25'!F9,'AGOSTO 25'!F9,'SEPTIEMBRE 25'!F9,'OCTUBRE 25'!F9,'NOVIEMBRE 25'!F9,F9)</f>
        <v>18245.53</v>
      </c>
      <c r="M18" s="26">
        <f>SUM('ENERO 25'!F6,'FEBRERO 25'!F6,'MARZO 25'!F6,'ABRIL 25'!F6,'MAYO 25'!F6,'JUNIO 25'!F6,'JULIO 25'!F6,'AGOSTO 25'!F6,'SEPTIEMBRE 25'!F6,'OCTUBRE 25'!F6,'NOVIEMBRE 25'!F6,F6)</f>
        <v>17641.34</v>
      </c>
    </row>
    <row r="19" ht="28" customHeight="1" spans="1:10">
      <c r="A19" s="5"/>
      <c r="B19" s="16" t="s">
        <v>19</v>
      </c>
      <c r="C19" s="17">
        <v>500</v>
      </c>
      <c r="D19" s="5"/>
      <c r="E19" s="22" t="s">
        <v>20</v>
      </c>
      <c r="F19" s="17">
        <v>149.88</v>
      </c>
      <c r="G19" s="5"/>
      <c r="H19" s="5"/>
      <c r="I19" s="6"/>
      <c r="J19" s="6"/>
    </row>
    <row r="20" ht="28" customHeight="1" spans="1:10">
      <c r="A20" s="5"/>
      <c r="B20" s="5"/>
      <c r="C20" s="18"/>
      <c r="D20" s="5"/>
      <c r="E20" s="16" t="s">
        <v>21</v>
      </c>
      <c r="F20" s="17">
        <v>126.84</v>
      </c>
      <c r="G20" s="5"/>
      <c r="H20" s="5"/>
      <c r="I20" s="6"/>
      <c r="J20" s="6"/>
    </row>
    <row r="21" ht="28" customHeight="1" spans="1:10">
      <c r="A21" s="5"/>
      <c r="B21" s="5"/>
      <c r="C21" s="18"/>
      <c r="D21" s="5"/>
      <c r="E21" s="16" t="s">
        <v>22</v>
      </c>
      <c r="F21" s="17">
        <v>72.89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22" t="s">
        <v>23</v>
      </c>
      <c r="F22" s="17">
        <v>42.6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22" t="s">
        <v>24</v>
      </c>
      <c r="F23" s="17">
        <v>15.98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16" t="s">
        <v>25</v>
      </c>
      <c r="F24" s="17">
        <v>14.98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26</v>
      </c>
      <c r="F25" s="17">
        <v>10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16" t="s">
        <v>27</v>
      </c>
      <c r="F26" s="17">
        <v>7.11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16" t="s">
        <v>28</v>
      </c>
      <c r="F27" s="17">
        <v>5.65</v>
      </c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E28" s="16" t="s">
        <v>29</v>
      </c>
      <c r="F28" s="17">
        <v>3.79</v>
      </c>
      <c r="G28" s="5"/>
      <c r="H28" s="8"/>
      <c r="I28" s="7"/>
      <c r="J28" s="5"/>
    </row>
    <row r="29" ht="28" customHeight="1" spans="1:10">
      <c r="A29" s="5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SUM(MonthlyIncome7_410131720232932[CANTIDAD])</f>
        <v>1250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SUM(MonthlyExpenses8_511141619222831[CANTIDAD])</f>
        <v>1275.2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'NOVIEMBRE 25'!TotalMonthlyIncome-'NOVIEMBRE 25'!TotalMonthlyExpenses</f>
        <v>-25.1999999999998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SUM('OCTUBRE 25'!F15+'NOVIEMBRE 25'!TotalMonthlySavings)</f>
        <v>1406.25</v>
      </c>
      <c r="G15" s="13"/>
    </row>
    <row r="16" s="5" customFormat="1" ht="31.5" customHeight="1" spans="2:10">
      <c r="B16" s="10" t="s">
        <v>30</v>
      </c>
      <c r="C16" s="10"/>
      <c r="D16"/>
      <c r="E16" s="10" t="s">
        <v>31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750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500</v>
      </c>
      <c r="D19" s="5"/>
      <c r="E19" s="16" t="s">
        <v>21</v>
      </c>
      <c r="F19" s="17">
        <v>199.23</v>
      </c>
      <c r="G19" s="5"/>
      <c r="H19" s="21"/>
      <c r="I19" s="17"/>
      <c r="J19" s="5"/>
    </row>
    <row r="20" ht="28" customHeight="1" spans="1:10">
      <c r="A20" s="5"/>
      <c r="B20" s="5"/>
      <c r="C20" s="18"/>
      <c r="D20" s="5"/>
      <c r="E20" s="16" t="s">
        <v>28</v>
      </c>
      <c r="F20" s="17">
        <v>148.26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22</v>
      </c>
      <c r="F21" s="17">
        <v>52.32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33</v>
      </c>
      <c r="F22" s="17">
        <v>38.37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22" t="s">
        <v>34</v>
      </c>
      <c r="F23" s="17">
        <v>28.91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23</v>
      </c>
      <c r="F24" s="17">
        <v>25.52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20</v>
      </c>
      <c r="F25" s="17">
        <v>16.12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22" t="s">
        <v>26</v>
      </c>
      <c r="F26" s="17">
        <v>10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22" t="s">
        <v>35</v>
      </c>
      <c r="F27" s="17">
        <v>5.63</v>
      </c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SUM(MonthlyIncome7_4101317202329[CANTIDAD])</f>
        <v>1250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SUM(MonthlyExpenses8_5111416192228[CANTIDAD])</f>
        <v>1347.71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'OCTUBRE 25'!TotalMonthlyIncome-'OCTUBRE 25'!TotalMonthlyExpenses</f>
        <v>-97.7099999999998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SUM('SEPTIEMBRE 25'!F15+'OCTUBRE 25'!TotalMonthlySavings)</f>
        <v>1431.45</v>
      </c>
      <c r="G15" s="13"/>
    </row>
    <row r="16" s="5" customFormat="1" ht="31.5" customHeight="1" spans="2:10">
      <c r="B16" s="10" t="s">
        <v>36</v>
      </c>
      <c r="C16" s="10"/>
      <c r="D16"/>
      <c r="E16" s="10" t="s">
        <v>37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750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500</v>
      </c>
      <c r="D19" s="5"/>
      <c r="E19" s="16" t="s">
        <v>21</v>
      </c>
      <c r="F19" s="17">
        <v>298.24</v>
      </c>
      <c r="G19" s="5"/>
      <c r="H19" s="21"/>
      <c r="I19" s="17"/>
      <c r="J19" s="5"/>
    </row>
    <row r="20" ht="28" customHeight="1" spans="1:10">
      <c r="A20" s="5"/>
      <c r="B20" s="5"/>
      <c r="C20" s="18"/>
      <c r="D20" s="5"/>
      <c r="E20" s="22" t="s">
        <v>38</v>
      </c>
      <c r="F20" s="17">
        <v>52.97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28</v>
      </c>
      <c r="F21" s="17">
        <v>61.49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22" t="s">
        <v>39</v>
      </c>
      <c r="F22" s="17">
        <v>47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16" t="s">
        <v>33</v>
      </c>
      <c r="F23" s="17">
        <v>40.31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16" t="s">
        <v>22</v>
      </c>
      <c r="F24" s="17">
        <v>38.83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20</v>
      </c>
      <c r="F25" s="17">
        <v>29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22" t="s">
        <v>23</v>
      </c>
      <c r="F26" s="17">
        <v>19.03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22" t="s">
        <v>26</v>
      </c>
      <c r="F27" s="17">
        <v>10</v>
      </c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SUM(MonthlyIncome7_41013172023[CANTIDAD])</f>
        <v>1250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SUM(MonthlyExpenses8_51114161922[CANTIDAD])</f>
        <v>1048.49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'SEPTIEMBRE 25'!TotalMonthlyIncome-'SEPTIEMBRE 25'!TotalMonthlyExpenses</f>
        <v>201.51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SUM('AGOSTO 25'!F15+'SEPTIEMBRE 25'!TotalMonthlySavings)</f>
        <v>1529.16</v>
      </c>
      <c r="G15" s="13"/>
    </row>
    <row r="16" s="5" customFormat="1" ht="31.5" customHeight="1" spans="2:10">
      <c r="B16" s="10" t="s">
        <v>40</v>
      </c>
      <c r="C16" s="10"/>
      <c r="D16"/>
      <c r="E16" s="10" t="s">
        <v>41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750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500</v>
      </c>
      <c r="D19" s="5"/>
      <c r="E19" s="22" t="s">
        <v>23</v>
      </c>
      <c r="F19" s="17">
        <v>72.72</v>
      </c>
      <c r="G19" s="5"/>
      <c r="H19" s="21"/>
      <c r="I19" s="17"/>
      <c r="J19" s="5"/>
    </row>
    <row r="20" ht="28" customHeight="1" spans="1:10">
      <c r="A20" s="5"/>
      <c r="B20" s="5"/>
      <c r="C20" s="18"/>
      <c r="D20" s="5"/>
      <c r="E20" s="16" t="s">
        <v>21</v>
      </c>
      <c r="F20" s="17">
        <v>71.42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22" t="s">
        <v>42</v>
      </c>
      <c r="F21" s="17">
        <v>59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33</v>
      </c>
      <c r="F22" s="17">
        <v>42.76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22" t="s">
        <v>34</v>
      </c>
      <c r="F23" s="17">
        <v>30.16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26</v>
      </c>
      <c r="F24" s="17">
        <v>10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43</v>
      </c>
      <c r="F25" s="17">
        <v>6.5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16" t="s">
        <v>22</v>
      </c>
      <c r="F26" s="17">
        <v>5.09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SUM(MonthlyIncome7_4101317202326[CANTIDAD])</f>
        <v>1250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SUM(MonthlyExpenses8_5111416192225[CANTIDAD])</f>
        <v>1245.11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'AGOSTO 25'!TotalMonthlyIncome-'AGOSTO 25'!TotalMonthlyExpenses</f>
        <v>4.88999999999987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SUM('JULIO 25'!F15+'AGOSTO 25'!TotalMonthlySavings)</f>
        <v>1327.65</v>
      </c>
      <c r="G15" s="13"/>
    </row>
    <row r="16" s="5" customFormat="1" ht="31.5" customHeight="1" spans="2:10">
      <c r="B16" s="10" t="s">
        <v>44</v>
      </c>
      <c r="C16" s="10"/>
      <c r="D16"/>
      <c r="E16" s="10" t="s">
        <v>45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750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500</v>
      </c>
      <c r="D19" s="5"/>
      <c r="E19" s="16" t="s">
        <v>21</v>
      </c>
      <c r="F19" s="17">
        <v>222.93</v>
      </c>
      <c r="G19" s="5"/>
      <c r="H19" s="21"/>
      <c r="I19" s="17"/>
      <c r="J19" s="5"/>
    </row>
    <row r="20" ht="28" customHeight="1" spans="1:10">
      <c r="A20" s="5"/>
      <c r="B20" s="5"/>
      <c r="C20" s="18"/>
      <c r="D20" s="5"/>
      <c r="E20" s="22" t="s">
        <v>28</v>
      </c>
      <c r="F20" s="17">
        <v>106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33</v>
      </c>
      <c r="F21" s="17">
        <v>60.88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46</v>
      </c>
      <c r="F22" s="17">
        <v>53.97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22" t="s">
        <v>23</v>
      </c>
      <c r="F23" s="17">
        <v>40.49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26</v>
      </c>
      <c r="F24" s="17">
        <v>10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SUM(MonthlyIncome7_410131720[CANTIDAD])</f>
        <v>1259.1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SUM(MonthlyExpenses8_511141619[CANTIDAD])</f>
        <v>1296.7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'JULIO 25'!TotalMonthlyIncome-'JULIO 25'!TotalMonthlyExpenses</f>
        <v>-37.6000000000001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SUM('JUNIO 25'!F15+'JULIO 25'!TotalMonthlySavings)</f>
        <v>1322.76</v>
      </c>
      <c r="G15" s="13"/>
    </row>
    <row r="16" s="5" customFormat="1" ht="31.5" customHeight="1" spans="2:10">
      <c r="B16" s="10" t="s">
        <v>47</v>
      </c>
      <c r="C16" s="10"/>
      <c r="D16"/>
      <c r="E16" s="10" t="s">
        <v>48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750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509.1</v>
      </c>
      <c r="D19" s="5"/>
      <c r="E19" s="22" t="s">
        <v>28</v>
      </c>
      <c r="F19" s="17">
        <v>190.57</v>
      </c>
      <c r="G19" s="5"/>
      <c r="H19" s="21"/>
      <c r="I19" s="17"/>
      <c r="J19" s="5"/>
    </row>
    <row r="20" ht="28" customHeight="1" spans="1:10">
      <c r="A20" s="5"/>
      <c r="B20" s="5"/>
      <c r="C20" s="18"/>
      <c r="D20" s="5"/>
      <c r="E20" s="16" t="s">
        <v>21</v>
      </c>
      <c r="F20" s="17">
        <v>163.76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49</v>
      </c>
      <c r="F21" s="17">
        <v>35.84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33</v>
      </c>
      <c r="F22" s="17">
        <v>29.14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16" t="s">
        <v>34</v>
      </c>
      <c r="F23" s="17">
        <v>28.96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29</v>
      </c>
      <c r="F24" s="17">
        <v>27.99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23</v>
      </c>
      <c r="F25" s="17">
        <v>27.1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16" t="s">
        <v>50</v>
      </c>
      <c r="F26" s="17">
        <v>18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22" t="s">
        <v>51</v>
      </c>
      <c r="F27" s="17">
        <v>14.5</v>
      </c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E28" s="22" t="s">
        <v>26</v>
      </c>
      <c r="F28" s="17">
        <v>10</v>
      </c>
      <c r="G28" s="5"/>
      <c r="H28" s="8"/>
      <c r="I28" s="7"/>
      <c r="J28" s="5"/>
    </row>
    <row r="29" ht="28" customHeight="1" spans="1:10">
      <c r="A29" s="5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SUM(MonthlyIncome7_4101317[CANTIDAD])</f>
        <v>1344.72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SUM(MonthlyExpenses8_5111416[CANTIDAD])</f>
        <v>1166.67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'JUNIO 25'!TotalMonthlyIncome-'JUNIO 25'!TotalMonthlyExpenses</f>
        <v>178.05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SUM('MAYO 25'!F15+'JUNIO 25'!TotalMonthlySavings)</f>
        <v>1360.36</v>
      </c>
      <c r="G15" s="13"/>
    </row>
    <row r="16" s="5" customFormat="1" ht="31.5" customHeight="1" spans="2:10">
      <c r="B16" s="10" t="s">
        <v>52</v>
      </c>
      <c r="C16" s="10"/>
      <c r="D16"/>
      <c r="E16" s="10" t="s">
        <v>53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775.9</v>
      </c>
      <c r="D18" s="5"/>
      <c r="E18" s="16" t="s">
        <v>18</v>
      </c>
      <c r="F18" s="17">
        <v>734.43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559.35</v>
      </c>
      <c r="D19" s="5"/>
      <c r="E19" s="16" t="s">
        <v>21</v>
      </c>
      <c r="F19" s="17">
        <v>228.24</v>
      </c>
      <c r="G19" s="5"/>
      <c r="H19" s="21"/>
      <c r="I19" s="17"/>
      <c r="J19" s="5"/>
    </row>
    <row r="20" ht="28" customHeight="1" spans="1:10">
      <c r="A20" s="5"/>
      <c r="B20" s="16" t="s">
        <v>54</v>
      </c>
      <c r="C20" s="17">
        <v>9.47</v>
      </c>
      <c r="D20" s="5"/>
      <c r="E20" s="16" t="s">
        <v>55</v>
      </c>
      <c r="F20" s="17">
        <v>85.25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33</v>
      </c>
      <c r="F21" s="17">
        <v>44.2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22" t="s">
        <v>56</v>
      </c>
      <c r="F22" s="17">
        <v>24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22" t="s">
        <v>23</v>
      </c>
      <c r="F23" s="17">
        <v>19.87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57</v>
      </c>
      <c r="F24" s="17">
        <v>14.67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26</v>
      </c>
      <c r="F25" s="17">
        <v>10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22" t="s">
        <v>51</v>
      </c>
      <c r="F26" s="17">
        <v>6.01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B29" s="5"/>
      <c r="C29" s="18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SUM(MonthlyIncome7_41013[CANTIDAD])</f>
        <v>1391.94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SUM(MonthlyExpenses8_51114[CANTIDAD])</f>
        <v>1294.62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'MAYO 25'!TotalMonthlyIncome-'MAYO 25'!TotalMonthlyExpenses</f>
        <v>97.3200000000002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SUM('ABRIL 25'!F15+'MAYO 25'!TotalMonthlySavings)</f>
        <v>1182.31</v>
      </c>
      <c r="G15" s="13"/>
    </row>
    <row r="16" s="5" customFormat="1" ht="31.5" customHeight="1" spans="2:10">
      <c r="B16" s="10" t="s">
        <v>58</v>
      </c>
      <c r="C16" s="10"/>
      <c r="D16"/>
      <c r="E16" s="10" t="s">
        <v>59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820.97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570.97</v>
      </c>
      <c r="D19" s="5"/>
      <c r="E19" s="16" t="s">
        <v>21</v>
      </c>
      <c r="F19" s="17">
        <v>181.47</v>
      </c>
      <c r="G19" s="5"/>
      <c r="H19" s="21"/>
      <c r="I19" s="17"/>
      <c r="J19" s="5"/>
    </row>
    <row r="20" ht="28" customHeight="1" spans="1:10">
      <c r="A20" s="5"/>
      <c r="B20" s="16"/>
      <c r="C20" s="17"/>
      <c r="D20" s="5"/>
      <c r="E20" s="16" t="s">
        <v>55</v>
      </c>
      <c r="F20" s="17">
        <v>141.94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22" t="s">
        <v>28</v>
      </c>
      <c r="F21" s="17">
        <v>73.68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33</v>
      </c>
      <c r="F22" s="17">
        <v>42.81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16" t="s">
        <v>27</v>
      </c>
      <c r="F23" s="17">
        <v>41.56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16" t="s">
        <v>34</v>
      </c>
      <c r="F24" s="17">
        <v>30.82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23</v>
      </c>
      <c r="F25" s="17">
        <v>21.5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22" t="s">
        <v>26</v>
      </c>
      <c r="F26" s="17">
        <v>10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B29" s="5"/>
      <c r="C29" s="18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SUM(MonthlyIncome7_410[CANTIDAD])</f>
        <v>1300.08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SUM(MonthlyExpenses8_511[CANTIDAD])</f>
        <v>1458.99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'ABRIL 25'!TotalMonthlyIncome-'ABRIL 25'!TotalMonthlyExpenses</f>
        <v>-158.91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SUM('MARZO 25'!F15+'ABRIL 25'!TotalMonthlySavings)</f>
        <v>1084.99</v>
      </c>
      <c r="G15" s="13"/>
    </row>
    <row r="16" s="5" customFormat="1" ht="31.5" customHeight="1" spans="2:10">
      <c r="B16" s="10" t="s">
        <v>60</v>
      </c>
      <c r="C16" s="10"/>
      <c r="D16"/>
      <c r="E16" s="10" t="s">
        <v>61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750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550.08</v>
      </c>
      <c r="D19" s="5"/>
      <c r="E19" s="16" t="s">
        <v>21</v>
      </c>
      <c r="F19" s="17">
        <v>151.38</v>
      </c>
      <c r="G19" s="5"/>
      <c r="H19" s="21"/>
      <c r="I19" s="17"/>
      <c r="J19" s="5"/>
    </row>
    <row r="20" ht="28" customHeight="1" spans="1:10">
      <c r="A20" s="5"/>
      <c r="B20" s="16"/>
      <c r="C20" s="17"/>
      <c r="D20" s="5"/>
      <c r="E20" s="16" t="s">
        <v>55</v>
      </c>
      <c r="F20" s="17">
        <v>149.08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28</v>
      </c>
      <c r="F21" s="17">
        <v>138.45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22" t="s">
        <v>62</v>
      </c>
      <c r="F22" s="17">
        <v>121.1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16" t="s">
        <v>33</v>
      </c>
      <c r="F23" s="17">
        <v>61.31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23</v>
      </c>
      <c r="F24" s="17">
        <v>40.53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63</v>
      </c>
      <c r="F25" s="17">
        <v>36.3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22" t="s">
        <v>26</v>
      </c>
      <c r="F26" s="17">
        <v>10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16"/>
      <c r="F27" s="17"/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B29" s="5"/>
      <c r="C29" s="18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SUM(MonthlyIncome7_4[CANTIDAD])</f>
        <v>1668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SUM(MonthlyExpenses8_5[CANTIDAD])</f>
        <v>1411.01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'MARZO 25'!TotalMonthlyIncome-'MARZO 25'!TotalMonthlyExpenses</f>
        <v>256.99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SUM('FEBRERO 25'!F15+'MARZO 25'!TotalMonthlySavings)</f>
        <v>1243.9</v>
      </c>
      <c r="G15" s="13"/>
    </row>
    <row r="16" s="5" customFormat="1" ht="31.5" customHeight="1" spans="2:10">
      <c r="B16" s="10" t="s">
        <v>64</v>
      </c>
      <c r="C16" s="10"/>
      <c r="D16"/>
      <c r="E16" s="10" t="s">
        <v>65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987.5</v>
      </c>
      <c r="D18" s="5"/>
      <c r="E18" s="16" t="s">
        <v>18</v>
      </c>
      <c r="F18" s="17">
        <v>750.84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680.5</v>
      </c>
      <c r="D19" s="5"/>
      <c r="E19" s="16" t="s">
        <v>55</v>
      </c>
      <c r="F19" s="17">
        <v>264.84</v>
      </c>
      <c r="G19" s="5"/>
      <c r="H19" s="21"/>
      <c r="I19" s="17"/>
      <c r="J19" s="5"/>
    </row>
    <row r="20" ht="28" customHeight="1" spans="1:10">
      <c r="A20" s="5"/>
      <c r="B20" s="16"/>
      <c r="C20" s="17"/>
      <c r="D20" s="5"/>
      <c r="E20" s="16" t="s">
        <v>21</v>
      </c>
      <c r="F20" s="17">
        <v>165.43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22" t="s">
        <v>29</v>
      </c>
      <c r="F21" s="17">
        <v>65.23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28</v>
      </c>
      <c r="F22" s="17">
        <v>63.91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22" t="s">
        <v>23</v>
      </c>
      <c r="F23" s="17">
        <v>52.97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16" t="s">
        <v>33</v>
      </c>
      <c r="F24" s="17">
        <v>23.7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16" t="s">
        <v>34</v>
      </c>
      <c r="F25" s="17">
        <v>14.09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22" t="s">
        <v>26</v>
      </c>
      <c r="F26" s="17">
        <v>10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G28" s="5"/>
      <c r="H28" s="8"/>
      <c r="I28" s="7"/>
      <c r="J28" s="5"/>
    </row>
    <row r="29" ht="28" customHeight="1" spans="1:10">
      <c r="A29" s="5"/>
      <c r="B29" s="5"/>
      <c r="C29" s="18"/>
      <c r="D29" s="5"/>
      <c r="G29" s="5"/>
      <c r="H29" s="8"/>
      <c r="I29" s="7"/>
      <c r="J29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30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SUM(MonthlyIncome7[CANTIDAD])</f>
        <v>1937.5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SUM(MonthlyExpenses8[CANTIDAD])</f>
        <v>2258.28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'FEBRERO 25'!TotalMonthlyIncome-'FEBRERO 25'!TotalMonthlyExpenses</f>
        <v>-320.78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SUM('ENERO 25'!F15+'FEBRERO 25'!TotalMonthlySavings)</f>
        <v>986.91</v>
      </c>
      <c r="G15" s="13"/>
    </row>
    <row r="16" s="5" customFormat="1" ht="31.5" customHeight="1" spans="2:10">
      <c r="B16" s="10" t="s">
        <v>66</v>
      </c>
      <c r="C16" s="10"/>
      <c r="D16"/>
      <c r="E16" s="10" t="s">
        <v>67</v>
      </c>
      <c r="F16" s="10"/>
      <c r="G16" s="10"/>
      <c r="H16"/>
      <c r="I16" s="10" t="s">
        <v>11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H17" s="15" t="s">
        <v>32</v>
      </c>
      <c r="I17" s="15" t="s">
        <v>13</v>
      </c>
    </row>
    <row r="18" ht="28" customHeight="1" spans="1:10">
      <c r="A18" s="5"/>
      <c r="B18" s="16" t="s">
        <v>17</v>
      </c>
      <c r="C18" s="17">
        <v>1037.5</v>
      </c>
      <c r="D18" s="5"/>
      <c r="E18" s="16" t="s">
        <v>18</v>
      </c>
      <c r="F18" s="17">
        <v>712.32</v>
      </c>
      <c r="G18" s="5"/>
      <c r="H18" s="21"/>
      <c r="I18" s="17"/>
      <c r="J18" s="5"/>
    </row>
    <row r="19" ht="28" customHeight="1" spans="1:10">
      <c r="A19" s="5"/>
      <c r="B19" s="16" t="s">
        <v>19</v>
      </c>
      <c r="C19" s="17">
        <v>900</v>
      </c>
      <c r="D19" s="5"/>
      <c r="E19" s="16" t="s">
        <v>68</v>
      </c>
      <c r="F19" s="17">
        <v>545</v>
      </c>
      <c r="G19" s="5"/>
      <c r="H19" s="21"/>
      <c r="I19" s="17"/>
      <c r="J19" s="5"/>
    </row>
    <row r="20" ht="28" customHeight="1" spans="1:10">
      <c r="A20" s="5"/>
      <c r="B20" s="16"/>
      <c r="C20" s="17"/>
      <c r="D20" s="5"/>
      <c r="E20" s="16" t="s">
        <v>69</v>
      </c>
      <c r="F20" s="17">
        <v>288.45</v>
      </c>
      <c r="G20" s="5"/>
      <c r="H20" s="21"/>
      <c r="I20" s="17"/>
      <c r="J20" s="5"/>
    </row>
    <row r="21" ht="28" customHeight="1" spans="1:10">
      <c r="A21" s="5"/>
      <c r="B21" s="5"/>
      <c r="C21" s="18"/>
      <c r="D21" s="5"/>
      <c r="E21" s="16" t="s">
        <v>34</v>
      </c>
      <c r="F21" s="17">
        <v>207.87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28</v>
      </c>
      <c r="F22" s="17">
        <v>143.39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16" t="s">
        <v>21</v>
      </c>
      <c r="F23" s="17">
        <v>133.54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22" t="s">
        <v>23</v>
      </c>
      <c r="F24" s="17">
        <v>55.14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22" t="s">
        <v>70</v>
      </c>
      <c r="F25" s="17">
        <v>54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16" t="s">
        <v>33</v>
      </c>
      <c r="F26" s="17">
        <v>42.39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22" t="s">
        <v>71</v>
      </c>
      <c r="F27" s="17">
        <v>41.19</v>
      </c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E28" s="16" t="s">
        <v>72</v>
      </c>
      <c r="F28" s="17">
        <v>14.99</v>
      </c>
      <c r="G28" s="5"/>
      <c r="H28" s="8"/>
      <c r="I28" s="7"/>
      <c r="J28" s="5"/>
    </row>
    <row r="29" ht="28" customHeight="1" spans="1:10">
      <c r="A29" s="5"/>
      <c r="B29" s="5"/>
      <c r="C29" s="18"/>
      <c r="D29" s="5"/>
      <c r="E29" s="22" t="s">
        <v>73</v>
      </c>
      <c r="F29" s="17">
        <v>10</v>
      </c>
      <c r="G29" s="5"/>
      <c r="H29" s="8"/>
      <c r="I29" s="7"/>
      <c r="J29" s="5"/>
    </row>
    <row r="30" customHeight="1" spans="5:6">
      <c r="E30" s="22" t="s">
        <v>26</v>
      </c>
      <c r="F30" s="17">
        <v>10</v>
      </c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3" tint="0.249977111117893"/>
    <pageSetUpPr fitToPage="1"/>
  </sheetPr>
  <dimension ref="A1:K30"/>
  <sheetViews>
    <sheetView showGridLines="0" zoomScale="80" zoomScaleNormal="80" workbookViewId="0">
      <selection activeCell="A1" sqref="A1"/>
    </sheetView>
  </sheetViews>
  <sheetFormatPr defaultColWidth="9.16190476190476" defaultRowHeight="27.75" customHeight="1"/>
  <cols>
    <col min="1" max="1" width="4.5047619047619" style="6" customWidth="1"/>
    <col min="2" max="2" width="23.8285714285714" style="6" customWidth="1"/>
    <col min="3" max="3" width="15.6666666666667" style="7" customWidth="1"/>
    <col min="4" max="4" width="6.5047619047619" style="6" customWidth="1"/>
    <col min="5" max="5" width="19.6666666666667" style="6" customWidth="1"/>
    <col min="6" max="6" width="15.6666666666667" style="8" customWidth="1"/>
    <col min="7" max="7" width="15.6666666666667" style="7" customWidth="1"/>
    <col min="8" max="8" width="6.5047619047619" style="6" customWidth="1"/>
    <col min="9" max="9" width="15.6666666666667" style="8" customWidth="1"/>
    <col min="10" max="10" width="15.6666666666667" style="7" customWidth="1"/>
    <col min="11" max="11" width="4.5047619047619" style="6" customWidth="1"/>
    <col min="12" max="16384" width="9.16190476190476" style="6"/>
  </cols>
  <sheetData>
    <row r="1" s="3" customFormat="1" ht="5.25" customHeight="1" spans="1:1">
      <c r="A1" s="9" t="s">
        <v>0</v>
      </c>
    </row>
    <row r="2" s="4" customFormat="1" ht="40.5" customHeight="1" spans="2:11">
      <c r="B2" s="4" t="s">
        <v>1</v>
      </c>
      <c r="K2" s="4" t="s">
        <v>2</v>
      </c>
    </row>
    <row r="3" s="5" customFormat="1" ht="33" customHeight="1" spans="2:6">
      <c r="B3" s="10" t="s">
        <v>3</v>
      </c>
      <c r="F3" s="10" t="s">
        <v>4</v>
      </c>
    </row>
    <row r="4" s="5" customFormat="1" ht="18.75" customHeight="1" spans="5:7">
      <c r="E4" s="11"/>
      <c r="F4" s="12" t="s">
        <v>5</v>
      </c>
      <c r="G4" s="12"/>
    </row>
    <row r="5" s="5" customFormat="1" ht="3.75" customHeight="1" spans="5:7">
      <c r="E5" s="11"/>
      <c r="F5"/>
      <c r="G5"/>
    </row>
    <row r="6" s="5" customFormat="1" ht="46.5" customHeight="1" spans="5:10">
      <c r="E6" s="11"/>
      <c r="F6" s="13">
        <f>SUM(MonthlyIncome[CANTIDAD])</f>
        <v>2490</v>
      </c>
      <c r="G6" s="13"/>
      <c r="I6" s="11"/>
      <c r="J6" s="19"/>
    </row>
    <row r="7" s="5" customFormat="1" ht="18.75" customHeight="1" spans="6:10">
      <c r="F7" s="12" t="s">
        <v>6</v>
      </c>
      <c r="G7" s="12"/>
      <c r="I7" s="11"/>
      <c r="J7" s="19"/>
    </row>
    <row r="8" s="5" customFormat="1" ht="3.75" customHeight="1" spans="6:10">
      <c r="F8"/>
      <c r="G8"/>
      <c r="I8" s="11"/>
      <c r="J8" s="19"/>
    </row>
    <row r="9" s="5" customFormat="1" ht="46.5" customHeight="1" spans="5:7">
      <c r="E9" s="14"/>
      <c r="F9" s="13">
        <f>SUM(MonthlyExpenses[CANTIDAD])</f>
        <v>3218.95</v>
      </c>
      <c r="G9" s="13"/>
    </row>
    <row r="10" s="5" customFormat="1" ht="18.75" customHeight="1" spans="1:7">
      <c r="A10" s="14"/>
      <c r="E10" s="14"/>
      <c r="F10" s="12" t="s">
        <v>7</v>
      </c>
      <c r="G10" s="12"/>
    </row>
    <row r="11" s="5" customFormat="1" ht="3.75" customHeight="1" spans="1:7">
      <c r="A11" s="14"/>
      <c r="E11" s="14"/>
      <c r="F11"/>
      <c r="G11"/>
    </row>
    <row r="12" s="5" customFormat="1" ht="46.5" customHeight="1" spans="1:7">
      <c r="A12" s="14"/>
      <c r="E12" s="14"/>
      <c r="F12" s="13">
        <f>F6-F9</f>
        <v>-728.95</v>
      </c>
      <c r="G12" s="13"/>
    </row>
    <row r="13" s="5" customFormat="1" ht="18.75" customHeight="1" spans="1:7">
      <c r="A13" s="14"/>
      <c r="E13" s="14"/>
      <c r="F13" s="12" t="s">
        <v>8</v>
      </c>
      <c r="G13" s="12"/>
    </row>
    <row r="14" s="5" customFormat="1" ht="3.75" customHeight="1" spans="1:7">
      <c r="A14" s="14"/>
      <c r="E14" s="14"/>
      <c r="F14"/>
      <c r="G14"/>
    </row>
    <row r="15" s="5" customFormat="1" ht="46.5" customHeight="1" spans="1:7">
      <c r="A15" s="14"/>
      <c r="E15" s="14"/>
      <c r="F15" s="13">
        <f>SUM(I17+TotalMonthlySavings)</f>
        <v>1307.69</v>
      </c>
      <c r="G15" s="13"/>
    </row>
    <row r="16" s="5" customFormat="1" ht="31.5" customHeight="1" spans="2:10">
      <c r="B16" s="10" t="s">
        <v>74</v>
      </c>
      <c r="C16" s="10"/>
      <c r="D16"/>
      <c r="E16" s="10" t="s">
        <v>75</v>
      </c>
      <c r="F16" s="10"/>
      <c r="G16" s="10"/>
      <c r="H16"/>
      <c r="I16" s="10" t="s">
        <v>76</v>
      </c>
      <c r="J16" s="10"/>
    </row>
    <row r="17" s="5" customFormat="1" ht="39.75" customHeight="1" spans="2:9">
      <c r="B17" s="15" t="s">
        <v>12</v>
      </c>
      <c r="C17" s="15" t="s">
        <v>13</v>
      </c>
      <c r="E17" s="15" t="s">
        <v>12</v>
      </c>
      <c r="F17" s="15" t="s">
        <v>13</v>
      </c>
      <c r="I17" s="20">
        <v>2036.64</v>
      </c>
    </row>
    <row r="18" ht="28" customHeight="1" spans="1:10">
      <c r="A18" s="5"/>
      <c r="B18" s="16" t="s">
        <v>17</v>
      </c>
      <c r="C18" s="17">
        <v>1370</v>
      </c>
      <c r="D18" s="5"/>
      <c r="E18" s="5" t="s">
        <v>77</v>
      </c>
      <c r="F18" s="17">
        <v>1000</v>
      </c>
      <c r="G18" s="5"/>
      <c r="H18" s="5"/>
      <c r="I18" s="6"/>
      <c r="J18" s="6"/>
    </row>
    <row r="19" ht="28" customHeight="1" spans="1:10">
      <c r="A19" s="5"/>
      <c r="B19" s="16" t="s">
        <v>19</v>
      </c>
      <c r="C19" s="17">
        <v>1120</v>
      </c>
      <c r="D19" s="5"/>
      <c r="E19" s="16" t="s">
        <v>69</v>
      </c>
      <c r="F19" s="17">
        <v>756.37</v>
      </c>
      <c r="G19" s="5"/>
      <c r="H19" s="5"/>
      <c r="I19" s="6"/>
      <c r="J19" s="6"/>
    </row>
    <row r="20" ht="28" customHeight="1" spans="1:10">
      <c r="A20" s="5"/>
      <c r="B20" s="16"/>
      <c r="C20" s="17"/>
      <c r="D20" s="5"/>
      <c r="E20" s="16" t="s">
        <v>18</v>
      </c>
      <c r="F20" s="17">
        <v>750.84</v>
      </c>
      <c r="G20" s="5"/>
      <c r="H20" s="5"/>
      <c r="I20" s="6"/>
      <c r="J20" s="6"/>
    </row>
    <row r="21" ht="28" customHeight="1" spans="1:10">
      <c r="A21" s="5"/>
      <c r="B21" s="5"/>
      <c r="C21" s="18"/>
      <c r="D21" s="5"/>
      <c r="E21" s="5" t="s">
        <v>78</v>
      </c>
      <c r="F21" s="17">
        <v>240</v>
      </c>
      <c r="G21" s="5"/>
      <c r="H21" s="8"/>
      <c r="I21" s="7"/>
      <c r="J21" s="5"/>
    </row>
    <row r="22" ht="28" customHeight="1" spans="1:10">
      <c r="A22" s="5"/>
      <c r="B22" s="5"/>
      <c r="C22" s="18"/>
      <c r="D22" s="5"/>
      <c r="E22" s="16" t="s">
        <v>29</v>
      </c>
      <c r="F22" s="17">
        <v>212.79</v>
      </c>
      <c r="G22" s="5"/>
      <c r="H22" s="8"/>
      <c r="I22" s="7"/>
      <c r="J22" s="5"/>
    </row>
    <row r="23" ht="28" customHeight="1" spans="1:10">
      <c r="A23" s="5"/>
      <c r="B23" s="5"/>
      <c r="C23" s="18"/>
      <c r="D23" s="5"/>
      <c r="E23" s="16" t="s">
        <v>21</v>
      </c>
      <c r="F23" s="17">
        <v>156.46</v>
      </c>
      <c r="G23" s="5"/>
      <c r="H23" s="8"/>
      <c r="I23" s="7"/>
      <c r="J23" s="5"/>
    </row>
    <row r="24" ht="28" customHeight="1" spans="1:10">
      <c r="A24" s="5"/>
      <c r="B24" s="5"/>
      <c r="C24" s="18"/>
      <c r="D24" s="5"/>
      <c r="E24" s="16" t="s">
        <v>79</v>
      </c>
      <c r="F24" s="17">
        <v>41.19</v>
      </c>
      <c r="G24" s="5"/>
      <c r="H24" s="8"/>
      <c r="I24" s="7"/>
      <c r="J24" s="5"/>
    </row>
    <row r="25" ht="28" customHeight="1" spans="1:10">
      <c r="A25" s="5"/>
      <c r="B25" s="5"/>
      <c r="C25" s="18"/>
      <c r="D25" s="5"/>
      <c r="E25" s="16" t="s">
        <v>33</v>
      </c>
      <c r="F25" s="17">
        <v>25.91</v>
      </c>
      <c r="G25" s="5"/>
      <c r="H25" s="8"/>
      <c r="I25" s="7"/>
      <c r="J25" s="5"/>
    </row>
    <row r="26" ht="28" customHeight="1" spans="1:10">
      <c r="A26" s="5"/>
      <c r="B26" s="5"/>
      <c r="C26" s="18"/>
      <c r="D26" s="5"/>
      <c r="E26" s="16" t="s">
        <v>80</v>
      </c>
      <c r="F26" s="17">
        <v>15.39</v>
      </c>
      <c r="G26" s="5"/>
      <c r="H26" s="8"/>
      <c r="I26" s="7"/>
      <c r="J26" s="5"/>
    </row>
    <row r="27" ht="28" customHeight="1" spans="1:10">
      <c r="A27" s="5"/>
      <c r="B27" s="5"/>
      <c r="C27" s="18"/>
      <c r="D27" s="5"/>
      <c r="E27" s="16" t="s">
        <v>81</v>
      </c>
      <c r="F27" s="17">
        <v>10</v>
      </c>
      <c r="G27" s="5"/>
      <c r="H27" s="8"/>
      <c r="I27" s="7"/>
      <c r="J27" s="5"/>
    </row>
    <row r="28" ht="28" customHeight="1" spans="1:10">
      <c r="A28" s="5"/>
      <c r="B28" s="5"/>
      <c r="C28" s="18"/>
      <c r="D28" s="5"/>
      <c r="E28" s="16" t="s">
        <v>26</v>
      </c>
      <c r="F28" s="17">
        <v>10</v>
      </c>
      <c r="G28" s="5"/>
      <c r="H28" s="8"/>
      <c r="I28" s="7"/>
      <c r="J28" s="5"/>
    </row>
    <row r="29" ht="28" customHeight="1" spans="1:10">
      <c r="A29" s="5"/>
      <c r="B29" s="5"/>
      <c r="C29" s="18"/>
      <c r="D29" s="5"/>
      <c r="E29"/>
      <c r="F29"/>
      <c r="G29" s="5"/>
      <c r="H29" s="8"/>
      <c r="I29" s="7"/>
      <c r="J29" s="5"/>
    </row>
    <row r="30" ht="28" customHeight="1" spans="1:10">
      <c r="A30" s="5"/>
      <c r="B30" s="5"/>
      <c r="C30" s="18"/>
      <c r="D30" s="5"/>
      <c r="E30" s="16"/>
      <c r="F30" s="17"/>
      <c r="G30" s="5"/>
      <c r="H30" s="8"/>
      <c r="I30" s="7"/>
      <c r="J30" s="5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A1:B6"/>
  <sheetViews>
    <sheetView workbookViewId="0">
      <selection activeCell="A1" sqref="A1"/>
    </sheetView>
  </sheetViews>
  <sheetFormatPr defaultColWidth="9.16190476190476" defaultRowHeight="13.5" outlineLevelRow="5" outlineLevelCol="1"/>
  <cols>
    <col min="1" max="1" width="1.66666666666667" customWidth="1"/>
  </cols>
  <sheetData>
    <row r="1" ht="16.5" spans="1:1">
      <c r="A1" s="1" t="s">
        <v>0</v>
      </c>
    </row>
    <row r="2" spans="2:2">
      <c r="B2" t="s">
        <v>82</v>
      </c>
    </row>
    <row r="4" spans="2:2">
      <c r="B4" s="2">
        <f>MIN(1-B5,1)</f>
        <v>0</v>
      </c>
    </row>
    <row r="5" spans="2:2">
      <c r="B5" s="2">
        <f>MIN(TotalMonthlyExpenses/TotalMonthlyIncome,1)</f>
        <v>1</v>
      </c>
    </row>
    <row r="6" spans="2:2">
      <c r="B6" t="b">
        <f>(TotalMonthlyExpenses/TotalMonthlyIncome)&gt;1</f>
        <v>1</v>
      </c>
    </row>
  </sheetData>
  <hyperlinks>
    <hyperlink ref="A1" location="'Hoja14'!A1" display="Volver al directorio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DICIEMBRE 25</vt:lpstr>
      <vt:lpstr>NOVIEMBRE 25</vt:lpstr>
      <vt:lpstr>OCTUBRE 25</vt:lpstr>
      <vt:lpstr>SEPTIEMBRE 25</vt:lpstr>
      <vt:lpstr>AGOSTO 25</vt:lpstr>
      <vt:lpstr>JULIO 25</vt:lpstr>
      <vt:lpstr>JUNIO 25</vt:lpstr>
      <vt:lpstr>MAYO 25</vt:lpstr>
      <vt:lpstr>ABRIL 25</vt:lpstr>
      <vt:lpstr>MARZO 25</vt:lpstr>
      <vt:lpstr>FEBRERO 25</vt:lpstr>
      <vt:lpstr>ENERO 25</vt:lpstr>
      <vt:lpstr>Datos del gráfico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 Saz Carrion</dc:creator>
  <cp:lastModifiedBy>Diego del Saz</cp:lastModifiedBy>
  <dcterms:created xsi:type="dcterms:W3CDTF">2014-09-09T12:15:00Z</dcterms:created>
  <dcterms:modified xsi:type="dcterms:W3CDTF">2026-01-04T12:39:17Z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A200C3B7AE9146B4A3FE245F7FCF4E49_12</vt:lpwstr>
  </property>
  <property fmtid="{D5CDD505-2E9C-101B-9397-08002B2CF9AE}" pid="3" name="KSOProductBuildVer">
    <vt:lpwstr>3082-12.2.0.23155</vt:lpwstr>
  </property>
  <property fmtid="{D5CDD505-2E9C-101B-9397-08002B2CF9AE}" pid="4" name="KSOReadingLayout">
    <vt:bool>false</vt:bool>
  </property>
</Properties>
</file>