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 tabRatio="550" firstSheet="3" activeTab="9"/>
  </bookViews>
  <sheets>
    <sheet name="DICIEMBRE 26" sheetId="24" r:id="rId1"/>
    <sheet name="NOVIEMBRE 26" sheetId="23" r:id="rId2"/>
    <sheet name="OCTUBRE 26" sheetId="22" r:id="rId3"/>
    <sheet name="SEPTIEMBRE 26" sheetId="21" r:id="rId4"/>
    <sheet name="AGOSTO 26" sheetId="20" r:id="rId5"/>
    <sheet name="JULIO 26" sheetId="19" r:id="rId6"/>
    <sheet name="JUNIO 26" sheetId="18" r:id="rId7"/>
    <sheet name="MAYO 26" sheetId="17" r:id="rId8"/>
    <sheet name="ABRIL 26" sheetId="16" r:id="rId9"/>
    <sheet name="MARZO 26" sheetId="15" r:id="rId10"/>
    <sheet name="FEBRERO 26" sheetId="5" r:id="rId11"/>
    <sheet name="ENERO 26" sheetId="1" r:id="rId12"/>
    <sheet name="Datos del gráfico" sheetId="2" state="hidden" r:id="rId13"/>
  </sheets>
  <definedNames>
    <definedName name="_xlnm.Print_Titles" localSheetId="11">'ENERO 26'!$15:$16</definedName>
    <definedName name="_xlnm.Print_Titles" localSheetId="10">'FEBRERO 26'!$15:$16</definedName>
    <definedName name="TotalMonthlyExpenses" localSheetId="10">'FEBRERO 26'!$F$8</definedName>
    <definedName name="TotalMonthlyExpenses">'ENERO 26'!$F$8</definedName>
    <definedName name="TotalMonthlyIncome" localSheetId="10">'FEBRERO 26'!$F$5</definedName>
    <definedName name="TotalMonthlyIncome">'ENERO 26'!$F$5</definedName>
    <definedName name="TotalMonthlySavings" localSheetId="10">'FEBRERO 26'!$F$11</definedName>
    <definedName name="TotalMonthlySavings">'ENERO 26'!$F$11</definedName>
    <definedName name="_xlnm.Print_Titles" localSheetId="9">'MARZO 26'!$15:$16</definedName>
    <definedName name="TotalMonthlyExpenses" localSheetId="9">'MARZO 26'!$F$8</definedName>
    <definedName name="TotalMonthlyIncome" localSheetId="9">'MARZO 26'!$F$5</definedName>
    <definedName name="TotalMonthlySavings" localSheetId="9">'MARZO 26'!$F$11</definedName>
    <definedName name="_xlnm.Print_Titles" localSheetId="8">'ABRIL 26'!$16:$17</definedName>
    <definedName name="TotalMonthlyExpenses" localSheetId="8">'ABRIL 26'!$F$9</definedName>
    <definedName name="TotalMonthlyIncome" localSheetId="8">'ABRIL 26'!$F$6</definedName>
    <definedName name="TotalMonthlySavings" localSheetId="8">'ABRIL 26'!$F$12</definedName>
    <definedName name="_xlnm.Print_Titles" localSheetId="7">'MAYO 26'!$16:$17</definedName>
    <definedName name="TotalMonthlyExpenses" localSheetId="7">'MAYO 26'!$F$9</definedName>
    <definedName name="TotalMonthlyIncome" localSheetId="7">'MAYO 26'!$F$6</definedName>
    <definedName name="TotalMonthlySavings" localSheetId="7">'MAYO 26'!$F$12</definedName>
    <definedName name="_xlnm.Print_Titles" localSheetId="6">'JUNIO 26'!$16:$17</definedName>
    <definedName name="TotalMonthlyExpenses" localSheetId="6">'JUNIO 26'!$F$9</definedName>
    <definedName name="TotalMonthlyIncome" localSheetId="6">'JUNIO 26'!$F$6</definedName>
    <definedName name="TotalMonthlySavings" localSheetId="6">'JUNIO 26'!$F$12</definedName>
    <definedName name="_xlnm.Print_Titles" localSheetId="5">'JULIO 26'!$16:$17</definedName>
    <definedName name="TotalMonthlyExpenses" localSheetId="5">'JULIO 26'!$F$9</definedName>
    <definedName name="TotalMonthlyIncome" localSheetId="5">'JULIO 26'!$F$6</definedName>
    <definedName name="TotalMonthlySavings" localSheetId="5">'JULIO 26'!$F$12</definedName>
    <definedName name="_xlnm.Print_Titles" localSheetId="4">'AGOSTO 26'!$16:$17</definedName>
    <definedName name="TotalMonthlyExpenses" localSheetId="4">'AGOSTO 26'!$F$9</definedName>
    <definedName name="TotalMonthlyIncome" localSheetId="4">'AGOSTO 26'!$F$6</definedName>
    <definedName name="TotalMonthlySavings" localSheetId="4">'AGOSTO 26'!$F$12</definedName>
    <definedName name="_xlnm.Print_Titles" localSheetId="3">'SEPTIEMBRE 26'!$16:$17</definedName>
    <definedName name="TotalMonthlyExpenses" localSheetId="3">'SEPTIEMBRE 26'!$F$9</definedName>
    <definedName name="TotalMonthlyIncome" localSheetId="3">'SEPTIEMBRE 26'!$F$6</definedName>
    <definedName name="TotalMonthlySavings" localSheetId="3">'SEPTIEMBRE 26'!$F$12</definedName>
    <definedName name="_xlnm.Print_Titles" localSheetId="2">'OCTUBRE 26'!$16:$17</definedName>
    <definedName name="TotalMonthlyExpenses" localSheetId="2">'OCTUBRE 26'!$F$9</definedName>
    <definedName name="TotalMonthlyIncome" localSheetId="2">'OCTUBRE 26'!$F$6</definedName>
    <definedName name="TotalMonthlySavings" localSheetId="2">'OCTUBRE 26'!$F$12</definedName>
    <definedName name="_xlnm.Print_Titles" localSheetId="1">'NOVIEMBRE 26'!$16:$17</definedName>
    <definedName name="TotalMonthlyExpenses" localSheetId="1">'NOVIEMBRE 26'!$F$9</definedName>
    <definedName name="TotalMonthlyIncome" localSheetId="1">'NOVIEMBRE 26'!$F$6</definedName>
    <definedName name="TotalMonthlySavings" localSheetId="1">'NOVIEMBRE 26'!$F$12</definedName>
    <definedName name="_xlnm.Print_Titles" localSheetId="0">'DICIEMBRE 26'!$16:$17</definedName>
    <definedName name="TotalMonthlyExpenses" localSheetId="0">'DICIEMBRE 26'!$F$9</definedName>
    <definedName name="TotalMonthlyIncome" localSheetId="0">'DICIEMBRE 26'!$F$6</definedName>
    <definedName name="TotalMonthlySavings" localSheetId="0">'DICIEMBRE 26'!$F$12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<sst xmlns="http://schemas.openxmlformats.org/spreadsheetml/2006/main" count="324" uniqueCount="65">
  <si>
    <t>Presupuesto personal</t>
  </si>
  <si>
    <t xml:space="preserve"> </t>
  </si>
  <si>
    <t>Porcentaje de ingresos gastados</t>
  </si>
  <si>
    <t>Resumen</t>
  </si>
  <si>
    <t>TOTAL INGRESOS MENSUALES</t>
  </si>
  <si>
    <t>TOTAL GASTOS MENSUALES</t>
  </si>
  <si>
    <t>TOTAL AHORROS MENSUALES</t>
  </si>
  <si>
    <t>SALDO DE CUENTA</t>
  </si>
  <si>
    <t>INGRESOS DICIEMBRE</t>
  </si>
  <si>
    <t>GASTOS DICIEMBRE</t>
  </si>
  <si>
    <t>Ahorros mensuales</t>
  </si>
  <si>
    <t>ARTÍCULO</t>
  </si>
  <si>
    <t>CANTIDAD</t>
  </si>
  <si>
    <t>AHORRO ANUAL</t>
  </si>
  <si>
    <t>GASTO ANUAL</t>
  </si>
  <si>
    <t>INGRESO ANUAL</t>
  </si>
  <si>
    <t>IKEA</t>
  </si>
  <si>
    <t>Casa</t>
  </si>
  <si>
    <t>Ocio</t>
  </si>
  <si>
    <t>Regalos</t>
  </si>
  <si>
    <t>Fútbol</t>
  </si>
  <si>
    <t>Cantina IKEA</t>
  </si>
  <si>
    <t>Spotify</t>
  </si>
  <si>
    <t>Peluquería</t>
  </si>
  <si>
    <t>INGRESOS NOVIEMBRE</t>
  </si>
  <si>
    <t>GASTOS NOVIEMBRE</t>
  </si>
  <si>
    <t>FECHA</t>
  </si>
  <si>
    <t>Lotería</t>
  </si>
  <si>
    <t>Transporte</t>
  </si>
  <si>
    <t>INGRESOS OCTUBRE</t>
  </si>
  <si>
    <t>GASTOS OCTUBRE</t>
  </si>
  <si>
    <t>Gasolina</t>
  </si>
  <si>
    <t>INGRESOS SEPTIEMBRE</t>
  </si>
  <si>
    <t>GASTOS SEPTIEMBRE</t>
  </si>
  <si>
    <t>Grado Superior</t>
  </si>
  <si>
    <t>INGRESOS AGOSTO</t>
  </si>
  <si>
    <t>GASTOS AGOSTO</t>
  </si>
  <si>
    <t>Viajes</t>
  </si>
  <si>
    <t>INGRESOS JULIO</t>
  </si>
  <si>
    <t>GASTOS JULIO</t>
  </si>
  <si>
    <t>Ropa</t>
  </si>
  <si>
    <t>Videjuegos</t>
  </si>
  <si>
    <t>INGRESOS JUNIO</t>
  </si>
  <si>
    <t>GASTOS JUNIO</t>
  </si>
  <si>
    <t>Grado superior</t>
  </si>
  <si>
    <t>Abono Getafe</t>
  </si>
  <si>
    <t>Farmacia</t>
  </si>
  <si>
    <t>INGRESOS MAYO</t>
  </si>
  <si>
    <t>GASTOS MAYO</t>
  </si>
  <si>
    <t>Fantasy</t>
  </si>
  <si>
    <t>Google</t>
  </si>
  <si>
    <t>Videojuegos</t>
  </si>
  <si>
    <t>INGRESOS ABRIL</t>
  </si>
  <si>
    <t>GASTOS ABRIL</t>
  </si>
  <si>
    <t>Declaración</t>
  </si>
  <si>
    <t>INGRESOS MARZO</t>
  </si>
  <si>
    <t>GASTOS MARZO</t>
  </si>
  <si>
    <t>Parking</t>
  </si>
  <si>
    <t>INGRESOS FEBRERO</t>
  </si>
  <si>
    <t>GASTOS FEBRERO</t>
  </si>
  <si>
    <t>Apple</t>
  </si>
  <si>
    <t>INGRESOS ENERO</t>
  </si>
  <si>
    <t>GASTOS ENERO</t>
  </si>
  <si>
    <t>SALDO CUENTA</t>
  </si>
  <si>
    <t>DATOS DEL GRÁFICO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</si>
</sst>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\ [$€-40B]"/>
    <numFmt numFmtId="179" formatCode="#,##0&quot;€&quot;"/>
    <numFmt numFmtId="180" formatCode="###,000\ [$€-40B]"/>
    <numFmt numFmtId="181" formatCode="#,##0.00\ [$€-C0A]"/>
    <numFmt numFmtId="182" formatCode="_-* #,##0.00\ &quot;€&quot;_-;\-* #,##0.00\ &quot;€&quot;_-;_-* &quot;-&quot;??\ &quot;€&quot;_-;_-@_-"/>
  </numFmts>
  <fonts count="26">
    <font>
      <sz val="10"/>
      <color theme="3" tint="0.249946592608417"/>
      <name val="Century Gothic"/>
      <charset val="134"/>
      <scheme val="minor"/>
    </font>
    <font>
      <sz val="10"/>
      <name val="Century Gothic"/>
      <charset val="134"/>
      <scheme val="minor"/>
    </font>
    <font>
      <sz val="20"/>
      <color theme="0"/>
      <name val="Tahoma"/>
      <charset val="134"/>
      <scheme val="major"/>
    </font>
    <font>
      <sz val="13"/>
      <color theme="3" tint="0.249946592608417"/>
      <name val="Tahoma"/>
      <charset val="134"/>
      <scheme val="major"/>
    </font>
    <font>
      <sz val="10"/>
      <color theme="2" tint="-0.0999786370433668"/>
      <name val="Century Gothic"/>
      <charset val="134"/>
      <scheme val="minor"/>
    </font>
    <font>
      <sz val="10"/>
      <color theme="4"/>
      <name val="Tahoma"/>
      <charset val="134"/>
      <scheme val="major"/>
    </font>
    <font>
      <sz val="24"/>
      <color theme="3" tint="0.249946592608417"/>
      <name val="Century Gothic"/>
      <charset val="134"/>
      <scheme val="minor"/>
    </font>
    <font>
      <b/>
      <sz val="16"/>
      <color theme="3" tint="0.249946592608417"/>
      <name val="Century Gothic"/>
      <charset val="134"/>
      <scheme val="minor"/>
    </font>
    <font>
      <u/>
      <sz val="10"/>
      <color theme="3" tint="0.249946592608417"/>
      <name val="Century Gothic"/>
      <charset val="134"/>
      <scheme val="minor"/>
    </font>
    <font>
      <b/>
      <sz val="12"/>
      <color theme="4"/>
      <name val="Tahoma"/>
      <charset val="134"/>
      <scheme val="major"/>
    </font>
    <font>
      <sz val="11"/>
      <color theme="1"/>
      <name val="Century Gothic"/>
      <charset val="134"/>
      <scheme val="minor"/>
    </font>
    <font>
      <u/>
      <sz val="11"/>
      <color rgb="FF0000FF"/>
      <name val="Century Gothic"/>
      <charset val="0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i/>
      <sz val="11"/>
      <color rgb="FF7F7F7F"/>
      <name val="Century Gothic"/>
      <charset val="0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0999481185338908"/>
        <bgColor indexed="64"/>
      </patternFill>
    </fill>
    <fill>
      <patternFill patternType="solid">
        <fgColor theme="3" tint="0.0999481185338908"/>
        <bgColor indexed="64"/>
      </patternFill>
    </fill>
    <fill>
      <patternFill patternType="solid">
        <fgColor theme="2" tint="-0.0999481185338908"/>
        <bgColor theme="2" tint="-0.0999481185338908"/>
      </patternFill>
    </fill>
    <fill>
      <patternFill patternType="solid">
        <fgColor theme="4"/>
        <bgColor indexed="64"/>
      </patternFill>
    </fill>
    <fill>
      <patternFill patternType="solid">
        <fgColor theme="2" tint="-0.0999481185338908"/>
        <bgColor theme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2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3" borderId="0" applyNumberFormat="0" applyBorder="0" applyProtection="0">
      <alignment horizontal="left" vertical="center"/>
    </xf>
    <xf numFmtId="0" fontId="14" fillId="0" borderId="0" applyNumberFormat="0" applyFill="0" applyBorder="0" applyAlignment="0" applyProtection="0">
      <alignment vertical="center"/>
    </xf>
    <xf numFmtId="0" fontId="3" fillId="2" borderId="0" applyNumberFormat="0" applyProtection="0">
      <alignment horizontal="left"/>
    </xf>
    <xf numFmtId="0" fontId="5" fillId="2" borderId="1" applyNumberFormat="0" applyAlignment="0" applyProtection="0"/>
    <xf numFmtId="178" fontId="6" fillId="2" borderId="0" applyAlignment="0" applyProtection="0"/>
    <xf numFmtId="0" fontId="2" fillId="3" borderId="0" applyNumberFormat="0" applyBorder="0" applyAlignment="0" applyProtection="0"/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" fillId="2" borderId="0" applyNumberFormat="0" applyAlignment="0" applyProtection="0"/>
    <xf numFmtId="179" fontId="6" fillId="2" borderId="0" applyAlignment="0" applyProtection="0"/>
  </cellStyleXfs>
  <cellXfs count="26">
    <xf numFmtId="0" fontId="0" fillId="2" borderId="0" xfId="0"/>
    <xf numFmtId="9" fontId="1" fillId="2" borderId="0" xfId="0" applyNumberFormat="1" applyFont="1" applyAlignment="1">
      <alignment horizontal="left" vertical="center"/>
    </xf>
    <xf numFmtId="0" fontId="2" fillId="3" borderId="0" xfId="10" applyBorder="1">
      <alignment horizontal="left" vertical="center"/>
    </xf>
    <xf numFmtId="0" fontId="0" fillId="2" borderId="0" xfId="0" applyAlignment="1">
      <alignment horizontal="left" vertical="center"/>
    </xf>
    <xf numFmtId="0" fontId="0" fillId="2" borderId="0" xfId="0" applyAlignment="1">
      <alignment horizontal="left"/>
    </xf>
    <xf numFmtId="180" fontId="0" fillId="2" borderId="0" xfId="0" applyNumberFormat="1" applyAlignment="1">
      <alignment horizontal="left"/>
    </xf>
    <xf numFmtId="58" fontId="0" fillId="2" borderId="0" xfId="0" applyNumberFormat="1" applyAlignment="1">
      <alignment horizontal="left"/>
    </xf>
    <xf numFmtId="0" fontId="3" fillId="2" borderId="0" xfId="12">
      <alignment horizontal="left"/>
    </xf>
    <xf numFmtId="0" fontId="4" fillId="2" borderId="0" xfId="0" applyFont="1" applyAlignment="1">
      <alignment horizontal="left" vertical="center"/>
    </xf>
    <xf numFmtId="0" fontId="5" fillId="2" borderId="1" xfId="13" applyAlignment="1"/>
    <xf numFmtId="178" fontId="6" fillId="2" borderId="0" xfId="14" applyAlignment="1">
      <alignment horizontal="left" vertical="top"/>
    </xf>
    <xf numFmtId="9" fontId="0" fillId="2" borderId="0" xfId="0" applyNumberFormat="1" applyAlignment="1">
      <alignment vertical="center"/>
    </xf>
    <xf numFmtId="0" fontId="5" fillId="2" borderId="1" xfId="13" applyAlignment="1">
      <alignment horizontal="left" vertical="center"/>
    </xf>
    <xf numFmtId="0" fontId="0" fillId="2" borderId="0" xfId="0" applyAlignment="1">
      <alignment horizontal="left" vertical="center" wrapText="1"/>
    </xf>
    <xf numFmtId="181" fontId="0" fillId="2" borderId="0" xfId="0" applyNumberFormat="1" applyAlignment="1">
      <alignment horizontal="left" vertical="center"/>
    </xf>
    <xf numFmtId="180" fontId="0" fillId="2" borderId="0" xfId="0" applyNumberFormat="1" applyAlignment="1">
      <alignment horizontal="left" vertical="center"/>
    </xf>
    <xf numFmtId="180" fontId="4" fillId="2" borderId="0" xfId="0" applyNumberFormat="1" applyFont="1" applyAlignment="1">
      <alignment horizontal="left" vertical="center"/>
    </xf>
    <xf numFmtId="181" fontId="7" fillId="4" borderId="2" xfId="0" applyNumberFormat="1" applyFont="1" applyFill="1" applyBorder="1" applyAlignment="1">
      <alignment horizontal="left" vertical="center"/>
    </xf>
    <xf numFmtId="58" fontId="0" fillId="2" borderId="0" xfId="0" applyNumberFormat="1" applyAlignment="1">
      <alignment horizontal="left" vertical="center"/>
    </xf>
    <xf numFmtId="0" fontId="0" fillId="2" borderId="0" xfId="0" applyAlignment="1">
      <alignment vertical="center"/>
    </xf>
    <xf numFmtId="0" fontId="0" fillId="5" borderId="0" xfId="0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2" borderId="1" xfId="13" applyFont="1" applyAlignment="1">
      <alignment horizontal="left" vertical="center"/>
    </xf>
    <xf numFmtId="182" fontId="7" fillId="2" borderId="0" xfId="0" applyNumberFormat="1" applyFont="1" applyAlignment="1">
      <alignment horizontal="left" vertical="center"/>
    </xf>
    <xf numFmtId="0" fontId="9" fillId="6" borderId="1" xfId="13" applyFont="1" applyFill="1" applyBorder="1" applyAlignment="1">
      <alignment horizontal="left" vertical="center"/>
    </xf>
    <xf numFmtId="178" fontId="7" fillId="2" borderId="0" xfId="0" applyNumberFormat="1" applyFont="1" applyAlignment="1">
      <alignment horizontal="left" vertical="center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ncabezado 1 2" xfId="49"/>
    <cellStyle name="Título 3 2" xfId="50"/>
  </cellStyles>
  <dxfs count="18">
    <dxf>
      <font>
        <b val="1"/>
        <sz val="16"/>
      </font>
      <numFmt numFmtId="182" formatCode="_-* #,##0.00\ &quot;€&quot;_-;\-* #,##0.00\ &quot;€&quot;_-;_-* &quot;-&quot;??\ &quot;€&quot;_-;_-@_-"/>
    </dxf>
    <dxf>
      <font>
        <color rgb="FFFF0000"/>
      </font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numFmt numFmtId="58" formatCode="dd/mm/yyyy"/>
      <alignment horizontal="left" vertical="center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name val="Century Gothic"/>
        <scheme val="none"/>
      </font>
      <alignment horizontal="left" vertical="center" wrapText="1"/>
    </dxf>
    <dxf>
      <font>
        <name val="Century Gothic"/>
        <scheme val="none"/>
      </font>
      <numFmt numFmtId="181" formatCode="#,##0.00\ [$€-C0A]"/>
      <alignment horizontal="left" vertical="center"/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top style="double">
          <color theme="3" tint="0.0999481185338908"/>
        </top>
      </border>
    </dxf>
    <dxf>
      <font>
        <b val="0"/>
        <i val="0"/>
        <color theme="4"/>
      </font>
      <fill>
        <patternFill patternType="solid">
          <fgColor theme="1"/>
          <bgColor theme="2" tint="-0.0999481185338908"/>
        </patternFill>
      </fill>
      <border>
        <left/>
        <right/>
        <top/>
        <bottom style="thin">
          <color theme="2" tint="-0.249946592608417"/>
        </bottom>
        <vertical/>
        <horizontal/>
      </border>
    </dxf>
    <dxf>
      <font>
        <b val="0"/>
        <i val="0"/>
        <color theme="3" tint="0.249946592608417"/>
      </font>
      <fill>
        <patternFill patternType="solid">
          <bgColor theme="2" tint="-0.0999481185338908"/>
        </patternFill>
      </fill>
      <border>
        <left/>
        <right/>
        <top/>
        <bottom/>
        <vertical/>
        <horizontal style="thin">
          <color theme="2" tint="-0.249946592608417"/>
        </horizontal>
      </border>
    </dxf>
  </dxfs>
  <tableStyles count="2" defaultTableStyle="TableStyleMedium2" defaultPivotStyle="PivotStyleLight16">
    <tableStyle name="Personal budget table" pivot="0" count="3" xr9:uid="{B67B0E92-830D-4F59-80B3-1EC5A71167E8}">
      <tableStyleElement type="wholeTable" dxfId="14"/>
      <tableStyleElement type="headerRow" dxfId="13"/>
      <tableStyleElement type="totalRow" dxfId="12"/>
    </tableStyle>
    <tableStyle name="Tabla de presupuesto personal" pivot="0" count="3" xr9:uid="{76C2229C-98CF-4A06-AB30-C178E0CAAC47}">
      <tableStyleElement type="wholeTable" dxfId="17"/>
      <tableStyleElement type="headerRow" dxfId="16"/>
      <tableStyleElement type="totalRow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3644038228564"/>
                  <c:y val="0.13420667560165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'DICIEMBRE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'DICIEMBRE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'NOVIEMBRE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'NOVIEMBRE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'OCTUBRE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'OCTUBRE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0205124201415"/>
                  <c:y val="0.068454999891472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'SEPTIEMBRE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'SEPTIEMBRE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034087080775"/>
                  <c:y val="0.203150180229806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'AGOSTO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'AGOSTO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74232273522683"/>
                  <c:y val="0.011863912774432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'JULIO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'JULIO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50340870807751"/>
                  <c:y val="-0.05842226048319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'JUNIO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'JUNIO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47082952255715"/>
                  <c:y val="-0.0194819476839601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'MAYO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'MAYO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1019603839425"/>
                  <c:y val="0.023369244570743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26'!$F$4:$F$9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'ABRIL 26'!$G$4:$G$9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26'!$F$6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'ABRIL 26'!$F$9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0418191721813"/>
                  <c:y val="0.0158317383738747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0</c:v>
                </c:pt>
                <c:pt idx="3">
                  <c:v>0</c:v>
                </c:pt>
                <c:pt idx="5" c:formatCode="#,##0\ [$€-40B]">
                  <c:v>0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'MARZO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26'!$F$5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'MARZO 26'!$F$8</c:f>
              <c:numCache>
                <c:formatCode>#,##0\ [$€-40B]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67287327810706"/>
                  <c:y val="0.11874618884029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9666174980798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1094.5</c:v>
                </c:pt>
                <c:pt idx="3">
                  <c:v>0</c:v>
                </c:pt>
                <c:pt idx="5" c:formatCode="#,##0\ [$€-40B]">
                  <c:v>572.57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'FEBRERO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7eab37-0e9b-4e94-a8c7-487764ffbbc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26'!$F$5</c:f>
              <c:numCache>
                <c:formatCode>#,##0\ [$€-40B]</c:formatCode>
                <c:ptCount val="1"/>
                <c:pt idx="0">
                  <c:v>1094.5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'FEBRERO 26'!$F$8</c:f>
              <c:numCache>
                <c:formatCode>#,##0\ [$€-40B]</c:formatCode>
                <c:ptCount val="1"/>
                <c:pt idx="0">
                  <c:v>572.57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6eb97d-7801-4abc-a117-439ff31596ee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"/>
          <c:y val="0.199337172941314"/>
          <c:w val="0.774793860992885"/>
          <c:h val="0.640911706052892"/>
        </c:manualLayout>
      </c:layout>
      <c:doughnutChart>
        <c:varyColors val="1"/>
        <c:ser>
          <c:idx val="0"/>
          <c:order val="0"/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14CD68"/>
                  </a:gs>
                  <a:gs pos="100000">
                    <a:srgbClr val="0B6E38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rgbClr val="E30000"/>
                  </a:gs>
                  <a:gs pos="100000">
                    <a:srgbClr val="760303"/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196668345021375"/>
                  <c:y val="0.0199332728208514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vert="horz" wrap="square" lIns="38100" tIns="19050" rIns="38100" bIns="19050" anchor="ctr" anchorCtr="1"/>
                <a:lstStyle/>
                <a:p>
                  <a:pPr>
                    <a:defRPr lang="es-ES"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2639594757047"/>
                      <c:h val="0.407239570194533"/>
                    </c:manualLayout>
                  </c15:layout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lang="es-ES"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26'!$F$3:$F$8</c:f>
              <c:numCache>
                <c:formatCode>General</c:formatCode>
                <c:ptCount val="6"/>
                <c:pt idx="0">
                  <c:v>0</c:v>
                </c:pt>
                <c:pt idx="2" c:formatCode="#,##0\ [$€-40B]">
                  <c:v>1064.7</c:v>
                </c:pt>
                <c:pt idx="3">
                  <c:v>0</c:v>
                </c:pt>
                <c:pt idx="5" c:formatCode="#,##0\ [$€-40B]">
                  <c:v>914.79</c:v>
                </c:pt>
              </c:numCache>
            </c:numRef>
          </c:val>
        </c:ser>
        <c:ser>
          <c:idx val="1"/>
          <c:order val="1"/>
          <c:spPr/>
          <c:explosion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'ENERO 26'!$G$3:$G$8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9c86b-8f8f-4bdf-ba38-f9e62c74c9a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"/>
          <c:y val="0.0415681518329561"/>
          <c:w val="0.673710227433615"/>
          <c:h val="0.785215544405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gradFill>
              <a:gsLst>
                <a:gs pos="0">
                  <a:srgbClr val="14CD68"/>
                </a:gs>
                <a:gs pos="100000">
                  <a:srgbClr val="0B6E38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26'!$F$5</c:f>
              <c:numCache>
                <c:formatCode>#,##0\ [$€-40B]</c:formatCode>
                <c:ptCount val="1"/>
                <c:pt idx="0">
                  <c:v>1064.7</c:v>
                </c:pt>
              </c:numCache>
            </c:numRef>
          </c:val>
        </c:ser>
        <c:ser>
          <c:idx val="1"/>
          <c:order val="1"/>
          <c:tx>
            <c:strRef>
              <c:f>"Gastos"</c:f>
              <c:strCache>
                <c:ptCount val="1"/>
                <c:pt idx="0">
                  <c:v>Gastos</c:v>
                </c:pt>
              </c:strCache>
            </c:strRef>
          </c:tx>
          <c:spPr>
            <a:gradFill>
              <a:gsLst>
                <a:gs pos="0">
                  <a:srgbClr val="E30000"/>
                </a:gs>
                <a:gs pos="100000">
                  <a:srgbClr val="760303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Lbls>
            <c:delete val="1"/>
          </c:dLbls>
          <c:cat>
            <c:strRef>
              <c:f>{" "}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'ENERO 26'!$F$8</c:f>
              <c:numCache>
                <c:formatCode>#,##0\ [$€-40B]</c:formatCode>
                <c:ptCount val="1"/>
                <c:pt idx="0">
                  <c:v>914.79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74393776"/>
        <c:axId val="174394336"/>
      </c:barChart>
      <c:catAx>
        <c:axId val="17439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4336"/>
        <c:crosses val="autoZero"/>
        <c:auto val="1"/>
        <c:lblAlgn val="ctr"/>
        <c:lblOffset val="100"/>
        <c:noMultiLvlLbl val="0"/>
      </c:catAx>
      <c:valAx>
        <c:axId val="174394336"/>
        <c:scaling>
          <c:orientation val="minMax"/>
        </c:scaling>
        <c:delete val="0"/>
        <c:axPos val="l"/>
        <c:numFmt formatCode="#,##0\ [$€-40B]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9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18404139749"/>
          <c:y val="0.891693391883826"/>
          <c:w val="0.772588412201499"/>
          <c:h val="0.06654289369582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ead66-1b99-4374-84a5-e869bceb0e8f}"/>
      </c:ext>
    </c:extLst>
  </c:chart>
  <c:spPr>
    <a:solidFill>
      <a:schemeClr val="bg2">
        <a:lumMod val="90000"/>
      </a:schemeClr>
    </a:solidFill>
    <a:ln w="9525" cap="flat" cmpd="sng" algn="ctr">
      <a:noFill/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3228975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</xdr:row>
      <xdr:rowOff>129540</xdr:rowOff>
    </xdr:from>
    <xdr:to>
      <xdr:col>4</xdr:col>
      <xdr:colOff>160020</xdr:colOff>
      <xdr:row>15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710565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3</xdr:row>
      <xdr:rowOff>106456</xdr:rowOff>
    </xdr:from>
    <xdr:to>
      <xdr:col>10</xdr:col>
      <xdr:colOff>155865</xdr:colOff>
      <xdr:row>14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106170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129540</xdr:rowOff>
    </xdr:from>
    <xdr:to>
      <xdr:col>4</xdr:col>
      <xdr:colOff>207645</xdr:colOff>
      <xdr:row>14</xdr:row>
      <xdr:rowOff>179070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643890"/>
        <a:ext cx="3565525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039495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129540</xdr:rowOff>
    </xdr:from>
    <xdr:to>
      <xdr:col>4</xdr:col>
      <xdr:colOff>160020</xdr:colOff>
      <xdr:row>14</xdr:row>
      <xdr:rowOff>167640</xdr:rowOff>
    </xdr:to>
    <xdr:graphicFrame>
      <xdr:nvGraphicFramePr>
        <xdr:cNvPr id="2" name="chtIncomePct" descr="Gráfico de anillos que muestra el porcentaje de ingresos." title="Gráfico de porcentaje de ingresos"/>
        <xdr:cNvGraphicFramePr/>
      </xdr:nvGraphicFramePr>
      <xdr:xfrm>
        <a:off x="9525" y="643890"/>
        <a:ext cx="3517900" cy="396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3" name="chtIncomeExpenses" descr="Gráfico de barras de columnas que muestra los ingresos y los gastos." title="Ingresos vs. Gastos"/>
        <xdr:cNvGraphicFramePr/>
      </xdr:nvGraphicFramePr>
      <xdr:xfrm>
        <a:off x="7068820" y="1039495"/>
        <a:ext cx="23774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129540</xdr:rowOff>
    </xdr:from>
    <xdr:to>
      <xdr:col>4</xdr:col>
      <xdr:colOff>160020</xdr:colOff>
      <xdr:row>14</xdr:row>
      <xdr:rowOff>179070</xdr:rowOff>
    </xdr:to>
    <xdr:graphicFrame>
      <xdr:nvGraphicFramePr>
        <xdr:cNvPr id="4" name="chtIncomePct" descr="Gráfico de anillos que muestra el porcentaje de ingresos." title="Gráfico de porcentaje de ingresos"/>
        <xdr:cNvGraphicFramePr/>
      </xdr:nvGraphicFramePr>
      <xdr:xfrm>
        <a:off x="9525" y="643890"/>
        <a:ext cx="3517900" cy="3973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301040</xdr:colOff>
      <xdr:row>2</xdr:row>
      <xdr:rowOff>106456</xdr:rowOff>
    </xdr:from>
    <xdr:to>
      <xdr:col>10</xdr:col>
      <xdr:colOff>155865</xdr:colOff>
      <xdr:row>13</xdr:row>
      <xdr:rowOff>536864</xdr:rowOff>
    </xdr:to>
    <xdr:graphicFrame>
      <xdr:nvGraphicFramePr>
        <xdr:cNvPr id="2" name="chtIncomeExpenses" descr="Gráfico de barras de columnas que muestra los ingresos y los gastos." title="Ingresos vs. Gastos"/>
        <xdr:cNvGraphicFramePr/>
      </xdr:nvGraphicFramePr>
      <xdr:xfrm>
        <a:off x="7068820" y="1039495"/>
        <a:ext cx="2656840" cy="3345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3" name="Savings9_2761215182124303334" displayName="Savings9_2761215182124303334" ref="H17:H18" totalsRowShown="0">
  <autoFilter xmlns:etc="http://www.wps.cn/officeDocument/2017/etCustomData" ref="H17:H18" etc:filterBottomFollowUsedRange="0"/>
  <tableColumns count="1">
    <tableColumn id="1" name="AHORRO ANUAL" dataDxfId="0"/>
  </tableColumns>
  <tableStyleInfo name="Personal budget table" showFirstColumn="0" showLastColumn="0" showRowStripes="1" showColumnStripes="0"/>
</table>
</file>

<file path=xl/tables/table2.xml><?xml version="1.0" encoding="utf-8"?>
<table xmlns="http://schemas.openxmlformats.org/spreadsheetml/2006/main" id="34" name="MonthlyExpenses8_2651113161922283135" displayName="MonthlyExpenses8_2651113161922283135" ref="E17:F25" totalsRowShown="0">
  <autoFilter xmlns:etc="http://www.wps.cn/officeDocument/2017/etCustomData" ref="E17:F25" etc:filterBottomFollowUsedRange="0"/>
  <sortState ref="E17:F25">
    <sortCondition ref="F17:F25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.xml><?xml version="1.0" encoding="utf-8"?>
<table xmlns="http://schemas.openxmlformats.org/spreadsheetml/2006/main" id="35" name="MonthlyIncome7_2541014172023293236" displayName="MonthlyIncome7_2541014172023293236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4.xml><?xml version="1.0" encoding="utf-8"?>
<table xmlns="http://schemas.openxmlformats.org/spreadsheetml/2006/main" id="30" name="MonthlyExpenses8_26511131619222831" displayName="MonthlyExpenses8_26511131619222831" ref="E17:F24" totalsRowShown="0">
  <autoFilter xmlns:etc="http://www.wps.cn/officeDocument/2017/etCustomData" ref="E17:F24" etc:filterBottomFollowUsedRange="0"/>
  <sortState ref="E17:F24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5.xml><?xml version="1.0" encoding="utf-8"?>
<table xmlns="http://schemas.openxmlformats.org/spreadsheetml/2006/main" id="31" name="MonthlyIncome7_25410141720232932" displayName="MonthlyIncome7_25410141720232932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6.xml><?xml version="1.0" encoding="utf-8"?>
<table xmlns="http://schemas.openxmlformats.org/spreadsheetml/2006/main" id="32" name="Savings9_27612151821243033" displayName="Savings9_27612151821243033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7.xml><?xml version="1.0" encoding="utf-8"?>
<table xmlns="http://schemas.openxmlformats.org/spreadsheetml/2006/main" id="27" name="MonthlyExpenses8_265111316192228" displayName="MonthlyExpenses8_265111316192228" ref="E17:F25" totalsRowShown="0">
  <autoFilter xmlns:etc="http://www.wps.cn/officeDocument/2017/etCustomData" ref="E17:F25" etc:filterBottomFollowUsedRange="0"/>
  <sortState ref="E17:F25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8.xml><?xml version="1.0" encoding="utf-8"?>
<table xmlns="http://schemas.openxmlformats.org/spreadsheetml/2006/main" id="28" name="MonthlyIncome7_254101417202329" displayName="MonthlyIncome7_254101417202329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9.xml><?xml version="1.0" encoding="utf-8"?>
<table xmlns="http://schemas.openxmlformats.org/spreadsheetml/2006/main" id="29" name="Savings9_276121518212430" displayName="Savings9_276121518212430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0.xml><?xml version="1.0" encoding="utf-8"?>
<table xmlns="http://schemas.openxmlformats.org/spreadsheetml/2006/main" id="21" name="MonthlyExpenses8_2651113161922" displayName="MonthlyExpenses8_2651113161922" ref="E17:F25" totalsRowShown="0">
  <autoFilter xmlns:etc="http://www.wps.cn/officeDocument/2017/etCustomData" ref="E17:F25" etc:filterBottomFollowUsedRange="0"/>
  <sortState ref="E17:F25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1.xml><?xml version="1.0" encoding="utf-8"?>
<table xmlns="http://schemas.openxmlformats.org/spreadsheetml/2006/main" id="22" name="MonthlyIncome7_2541014172023" displayName="MonthlyIncome7_2541014172023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2.xml><?xml version="1.0" encoding="utf-8"?>
<table xmlns="http://schemas.openxmlformats.org/spreadsheetml/2006/main" id="23" name="Savings9_2761215182124" displayName="Savings9_2761215182124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3.xml><?xml version="1.0" encoding="utf-8"?>
<table xmlns="http://schemas.openxmlformats.org/spreadsheetml/2006/main" id="18" name="MonthlyExpenses8_26511131619" displayName="MonthlyExpenses8_26511131619" ref="E17:F26" totalsRowShown="0">
  <autoFilter xmlns:etc="http://www.wps.cn/officeDocument/2017/etCustomData" ref="E17:F26" etc:filterBottomFollowUsedRange="0"/>
  <sortState ref="E17:F26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4.xml><?xml version="1.0" encoding="utf-8"?>
<table xmlns="http://schemas.openxmlformats.org/spreadsheetml/2006/main" id="19" name="MonthlyIncome7_25410141720" displayName="MonthlyIncome7_25410141720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5.xml><?xml version="1.0" encoding="utf-8"?>
<table xmlns="http://schemas.openxmlformats.org/spreadsheetml/2006/main" id="20" name="Savings9_27612151821" displayName="Savings9_27612151821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6.xml><?xml version="1.0" encoding="utf-8"?>
<table xmlns="http://schemas.openxmlformats.org/spreadsheetml/2006/main" id="15" name="MonthlyExpenses8_265111316" displayName="MonthlyExpenses8_265111316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7.xml><?xml version="1.0" encoding="utf-8"?>
<table xmlns="http://schemas.openxmlformats.org/spreadsheetml/2006/main" id="16" name="MonthlyIncome7_254101417" displayName="MonthlyIncome7_254101417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18.xml><?xml version="1.0" encoding="utf-8"?>
<table xmlns="http://schemas.openxmlformats.org/spreadsheetml/2006/main" id="17" name="Savings9_276121518" displayName="Savings9_276121518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19.xml><?xml version="1.0" encoding="utf-8"?>
<table xmlns="http://schemas.openxmlformats.org/spreadsheetml/2006/main" id="12" name="MonthlyExpenses8_2651113" displayName="MonthlyExpenses8_2651113" ref="E17:F28" totalsRowShown="0">
  <autoFilter xmlns:etc="http://www.wps.cn/officeDocument/2017/etCustomData" ref="E17:F28" etc:filterBottomFollowUsedRange="0"/>
  <sortState ref="E17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0.xml><?xml version="1.0" encoding="utf-8"?>
<table xmlns="http://schemas.openxmlformats.org/spreadsheetml/2006/main" id="13" name="MonthlyIncome7_2541014" displayName="MonthlyIncome7_2541014" ref="B17:C18" totalsRowShown="0">
  <autoFilter xmlns:etc="http://www.wps.cn/officeDocument/2017/etCustomData" ref="B17:C18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1.xml><?xml version="1.0" encoding="utf-8"?>
<table xmlns="http://schemas.openxmlformats.org/spreadsheetml/2006/main" id="14" name="Savings9_2761215" displayName="Savings9_2761215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2.xml><?xml version="1.0" encoding="utf-8"?>
<table xmlns="http://schemas.openxmlformats.org/spreadsheetml/2006/main" id="9" name="MonthlyIncome7_25410" displayName="MonthlyIncome7_25410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3.xml><?xml version="1.0" encoding="utf-8"?>
<table xmlns="http://schemas.openxmlformats.org/spreadsheetml/2006/main" id="10" name="MonthlyExpenses8_26511" displayName="MonthlyExpenses8_26511" ref="E17:F29" totalsRowShown="0">
  <autoFilter xmlns:etc="http://www.wps.cn/officeDocument/2017/etCustomData" ref="E17:F29" etc:filterBottomFollowUsedRange="0"/>
  <sortState ref="E17:F29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4.xml><?xml version="1.0" encoding="utf-8"?>
<table xmlns="http://schemas.openxmlformats.org/spreadsheetml/2006/main" id="11" name="Savings9_27612" displayName="Savings9_27612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5.xml><?xml version="1.0" encoding="utf-8"?>
<table xmlns="http://schemas.openxmlformats.org/spreadsheetml/2006/main" id="3" name="MonthlyIncome7_254" displayName="MonthlyIncome7_254" ref="B17:C19" totalsRowShown="0">
  <autoFilter xmlns:etc="http://www.wps.cn/officeDocument/2017/etCustomData" ref="B17:C19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6.xml><?xml version="1.0" encoding="utf-8"?>
<table xmlns="http://schemas.openxmlformats.org/spreadsheetml/2006/main" id="4" name="MonthlyExpenses8_265" displayName="MonthlyExpenses8_265" ref="E17:F27" totalsRowShown="0">
  <autoFilter xmlns:etc="http://www.wps.cn/officeDocument/2017/etCustomData" ref="E17:F27" etc:filterBottomFollowUsedRange="0"/>
  <sortState ref="E17:F27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7.xml><?xml version="1.0" encoding="utf-8"?>
<table xmlns="http://schemas.openxmlformats.org/spreadsheetml/2006/main" id="5" name="Savings9_276" displayName="Savings9_276" ref="H17:I20" totalsRowShown="0">
  <autoFilter xmlns:etc="http://www.wps.cn/officeDocument/2017/etCustomData" ref="H17:I20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28.xml><?xml version="1.0" encoding="utf-8"?>
<table xmlns="http://schemas.openxmlformats.org/spreadsheetml/2006/main" id="24" name="MonthlyIncome7_25" displayName="MonthlyIncome7_25" ref="B16:C17" totalsRowShown="0">
  <autoFilter xmlns:etc="http://www.wps.cn/officeDocument/2017/etCustomData" ref="B16:C17" etc:filterBottomFollowUsedRange="0"/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29.xml><?xml version="1.0" encoding="utf-8"?>
<table xmlns="http://schemas.openxmlformats.org/spreadsheetml/2006/main" id="25" name="MonthlyExpenses8_26" displayName="MonthlyExpenses8_26" ref="E16:F28" totalsRowShown="0">
  <autoFilter xmlns:etc="http://www.wps.cn/officeDocument/2017/etCustomData" ref="E16:F28" etc:filterBottomFollowUsedRange="0"/>
  <sortState ref="E16:F28">
    <sortCondition ref="F17" descending="1"/>
  </sortState>
  <tableColumns count="2">
    <tableColumn id="1" name="ARTÍCULO"/>
    <tableColumn id="2" name="CANTIDAD"/>
  </tableColumns>
  <tableStyleInfo name="Personal budget table" showFirstColumn="0" showLastColumn="0" showRowStripes="1" showColumnStripes="0"/>
</table>
</file>

<file path=xl/tables/table30.xml><?xml version="1.0" encoding="utf-8"?>
<table xmlns="http://schemas.openxmlformats.org/spreadsheetml/2006/main" id="26" name="Savings9_27" displayName="Savings9_27" ref="H16:I19" totalsRowShown="0">
  <autoFilter xmlns:etc="http://www.wps.cn/officeDocument/2017/etCustomData" ref="H16:I19" etc:filterBottomFollowUsedRange="0"/>
  <tableColumns count="2">
    <tableColumn id="1" name="FECHA"/>
    <tableColumn id="2" name="CANTIDAD"/>
  </tableColumns>
  <tableStyleInfo name="Personal budget table" showFirstColumn="0" showLastColumn="0" showRowStripes="1" showColumnStripes="0"/>
</table>
</file>

<file path=xl/tables/table31.xml><?xml version="1.0" encoding="utf-8"?>
<table xmlns="http://schemas.openxmlformats.org/spreadsheetml/2006/main" id="6" name="MonthlyIncome7" displayName="MonthlyIncome7" ref="B16:C18" totalsRowShown="0">
  <autoFilter xmlns:etc="http://www.wps.cn/officeDocument/2017/etCustomData" ref="B16:C18" etc:filterBottomFollowUsedRange="0"/>
  <tableColumns count="2">
    <tableColumn id="1" name="ARTÍCULO" dataDxfId="2"/>
    <tableColumn id="2" name="CANTIDAD" dataDxfId="3"/>
  </tableColumns>
  <tableStyleInfo name="Personal budget table" showFirstColumn="0" showLastColumn="0" showRowStripes="1" showColumnStripes="0"/>
</table>
</file>

<file path=xl/tables/table32.xml><?xml version="1.0" encoding="utf-8"?>
<table xmlns="http://schemas.openxmlformats.org/spreadsheetml/2006/main" id="7" name="MonthlyExpenses8" displayName="MonthlyExpenses8" ref="E16:F27" totalsRowShown="0">
  <autoFilter xmlns:etc="http://www.wps.cn/officeDocument/2017/etCustomData" ref="E16:F27" etc:filterBottomFollowUsedRange="0"/>
  <sortState ref="E17:F27">
    <sortCondition ref="F17" descending="1"/>
  </sortState>
  <tableColumns count="2">
    <tableColumn id="1" name="ARTÍCULO" dataDxfId="4"/>
    <tableColumn id="3" name="CANTIDAD" dataDxfId="5"/>
  </tableColumns>
  <tableStyleInfo name="Personal budget table" showFirstColumn="0" showLastColumn="0" showRowStripes="1" showColumnStripes="0"/>
</table>
</file>

<file path=xl/tables/table33.xml><?xml version="1.0" encoding="utf-8"?>
<table xmlns="http://schemas.openxmlformats.org/spreadsheetml/2006/main" id="8" name="Savings9" displayName="Savings9" ref="H16:I19" totalsRowShown="0">
  <autoFilter xmlns:etc="http://www.wps.cn/officeDocument/2017/etCustomData" ref="H16:I19" etc:filterBottomFollowUsedRange="0"/>
  <tableColumns count="2">
    <tableColumn id="1" name="FECHA" dataDxfId="6"/>
    <tableColumn id="2" name="CANTIDAD" dataDxfId="7"/>
  </tableColumns>
  <tableStyleInfo name="Personal budget table" showFirstColumn="0" showLastColumn="0" showRowStripes="1" showColumnStripes="0"/>
</table>
</file>

<file path=xl/tables/table34.xml><?xml version="1.0" encoding="utf-8"?>
<table xmlns="http://schemas.openxmlformats.org/spreadsheetml/2006/main" id="1" name="MonthlyIncome" displayName="MonthlyIncome" ref="B16:C18" totalsRowShown="0">
  <autoFilter xmlns:etc="http://www.wps.cn/officeDocument/2017/etCustomData" ref="B16:C18" etc:filterBottomFollowUsedRange="0"/>
  <sortState ref="B16:C18">
    <sortCondition ref="C17" descending="1"/>
  </sortState>
  <tableColumns count="2">
    <tableColumn id="1" name="ARTÍCULO" dataDxfId="8"/>
    <tableColumn id="2" name="CANTIDAD" dataDxfId="9"/>
  </tableColumns>
  <tableStyleInfo name="Personal budget table" showFirstColumn="0" showLastColumn="0" showRowStripes="1" showColumnStripes="0"/>
</table>
</file>

<file path=xl/tables/table35.xml><?xml version="1.0" encoding="utf-8"?>
<table xmlns="http://schemas.openxmlformats.org/spreadsheetml/2006/main" id="2" name="MonthlyExpenses" displayName="MonthlyExpenses" ref="E16:F26" totalsRowShown="0">
  <autoFilter xmlns:etc="http://www.wps.cn/officeDocument/2017/etCustomData" ref="E16:F26" etc:filterBottomFollowUsedRange="0"/>
  <sortState ref="E16:F26">
    <sortCondition ref="F17" descending="1"/>
  </sortState>
  <tableColumns count="2">
    <tableColumn id="1" name="ARTÍCULO" dataDxfId="10"/>
    <tableColumn id="3" name="CANTIDAD" dataDxfId="11"/>
  </tableColumns>
  <tableStyleInfo name="Personal budget table" showFirstColumn="0" showLastColumn="0" showRowStripes="1" showColumnStripes="0"/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5.xml"/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8.xml"/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1.xml"/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4.xml"/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7.xml"/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0.xml"/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3.xml"/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M29"/>
  <sheetViews>
    <sheetView showGridLines="0" zoomScale="80" zoomScaleNormal="80" workbookViewId="0">
      <selection activeCell="M18" sqref="M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19.2761904761905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2" width="9.16190476190476" style="4"/>
    <col min="13" max="13" width="14.2857142857143" style="4"/>
    <col min="14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SUM(MonthlyIncome7_2541014172023293236[CANTIDAD])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SUM(MonthlyExpenses8_2651113161922283135[CANTIDAD])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'DICIEMBRE 26'!TotalMonthlyIncome-'DICIEMBRE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SUM('NOVIEMBRE 26'!F15+'DICIEMBRE 26'!TotalMonthlySavings)</f>
        <v>37184.84</v>
      </c>
      <c r="G15" s="10"/>
    </row>
    <row r="16" s="3" customFormat="1" ht="31.5" customHeight="1" spans="2:10">
      <c r="B16" s="7" t="s">
        <v>8</v>
      </c>
      <c r="C16" s="7"/>
      <c r="D16"/>
      <c r="E16" s="7" t="s">
        <v>9</v>
      </c>
      <c r="F16" s="7"/>
      <c r="G16" s="7"/>
      <c r="H16"/>
      <c r="I16" s="7" t="s">
        <v>10</v>
      </c>
      <c r="J16" s="7"/>
    </row>
    <row r="17" s="3" customFormat="1" ht="39.75" customHeight="1" spans="2:13">
      <c r="B17" s="12" t="s">
        <v>11</v>
      </c>
      <c r="C17" s="12" t="s">
        <v>12</v>
      </c>
      <c r="E17" s="12" t="s">
        <v>11</v>
      </c>
      <c r="F17" s="12" t="s">
        <v>12</v>
      </c>
      <c r="H17" s="22" t="s">
        <v>13</v>
      </c>
      <c r="J17" s="24" t="s">
        <v>14</v>
      </c>
      <c r="M17" s="24" t="s">
        <v>15</v>
      </c>
    </row>
    <row r="18" ht="28" customHeight="1" spans="1:13">
      <c r="A18" s="3"/>
      <c r="B18" s="13" t="s">
        <v>16</v>
      </c>
      <c r="C18" s="14"/>
      <c r="D18" s="3"/>
      <c r="E18" s="13" t="s">
        <v>17</v>
      </c>
      <c r="F18" s="14"/>
      <c r="G18" s="3"/>
      <c r="H18" s="23">
        <f>SUM('ENERO 26'!F11,'FEBRERO 26'!F11,'MARZO 26'!F11,'ABRIL 26'!F12,'MAYO 26'!F12,'JUNIO 26'!F12,'JULIO 26'!F12,'AGOSTO 26'!F12,'SEPTIEMBRE 26'!F12,'OCTUBRE 26'!F12,'NOVIEMBRE 26'!F12,F12)</f>
        <v>671.84</v>
      </c>
      <c r="I18" s="3"/>
      <c r="J18" s="25">
        <f>SUM('ENERO 26'!F8,'FEBRERO 26'!F8,'MARZO 26'!F8,'ABRIL 26'!F9,'MAYO 26'!F9,'JUNIO 26'!F9,'JULIO 26'!F9,'AGOSTO 26'!F9,'SEPTIEMBRE 26'!F9,'OCTUBRE 26'!F9,'NOVIEMBRE 26'!F9,F9)</f>
        <v>1487.36</v>
      </c>
      <c r="M18" s="25">
        <f>SUM('ENERO 26'!F5,'FEBRERO 26'!F5,'MARZO 26'!F5,'ABRIL 26'!F6,'MAYO 26'!F6,'JUNIO 26'!F6,'JULIO 26'!F6,'AGOSTO 26'!F6,'SEPTIEMBRE 26'!F6,'OCTUBRE 26'!F6,'NOVIEMBRE 26'!F6,F6)</f>
        <v>2159.2</v>
      </c>
    </row>
    <row r="19" ht="28" customHeight="1" spans="1:10">
      <c r="A19" s="3"/>
      <c r="B19" s="3"/>
      <c r="C19" s="15"/>
      <c r="D19" s="3"/>
      <c r="E19" s="13" t="s">
        <v>18</v>
      </c>
      <c r="F19" s="14"/>
      <c r="G19" s="3"/>
      <c r="H19" s="6"/>
      <c r="I19" s="5"/>
      <c r="J19" s="3"/>
    </row>
    <row r="20" ht="28" customHeight="1" spans="1:10">
      <c r="A20" s="3"/>
      <c r="B20" s="3"/>
      <c r="C20" s="15"/>
      <c r="D20" s="3"/>
      <c r="E20" s="13" t="s">
        <v>19</v>
      </c>
      <c r="F20" s="14"/>
      <c r="G20" s="3"/>
      <c r="H20" s="6"/>
      <c r="I20" s="5"/>
      <c r="J20" s="3"/>
    </row>
    <row r="21" ht="28" customHeight="1" spans="1:10">
      <c r="A21" s="3"/>
      <c r="D21" s="3"/>
      <c r="E21" s="13" t="s">
        <v>16</v>
      </c>
      <c r="F21" s="14"/>
      <c r="G21" s="3"/>
      <c r="H21" s="6"/>
      <c r="I21" s="5"/>
      <c r="J21" s="3"/>
    </row>
    <row r="22" ht="28" customHeight="1" spans="1:10">
      <c r="A22" s="3"/>
      <c r="D22" s="3"/>
      <c r="E22" s="13" t="s">
        <v>20</v>
      </c>
      <c r="F22" s="14"/>
      <c r="G22" s="3"/>
      <c r="H22" s="6"/>
      <c r="I22" s="5"/>
      <c r="J22" s="3"/>
    </row>
    <row r="23" ht="28" customHeight="1" spans="1:10">
      <c r="A23" s="3"/>
      <c r="D23" s="3"/>
      <c r="E23" s="13" t="s">
        <v>21</v>
      </c>
      <c r="F23" s="14"/>
      <c r="G23" s="3"/>
      <c r="H23" s="6"/>
      <c r="I23" s="5"/>
      <c r="J23" s="3"/>
    </row>
    <row r="24" ht="28" customHeight="1" spans="1:10">
      <c r="A24" s="3"/>
      <c r="D24" s="3"/>
      <c r="E24" s="13" t="s">
        <v>22</v>
      </c>
      <c r="F24" s="14"/>
      <c r="G24" s="3"/>
      <c r="H24" s="6"/>
      <c r="I24" s="5"/>
      <c r="J24" s="3"/>
    </row>
    <row r="25" ht="28" customHeight="1" spans="1:10">
      <c r="A25" s="3"/>
      <c r="D25" s="3"/>
      <c r="E25" s="19" t="s">
        <v>23</v>
      </c>
      <c r="F25" s="14"/>
      <c r="G25" s="3"/>
      <c r="H25" s="6"/>
      <c r="I25" s="5"/>
      <c r="J25" s="3"/>
    </row>
    <row r="26" ht="28" customHeight="1" spans="1:10">
      <c r="A26" s="3"/>
      <c r="D26" s="3"/>
      <c r="G26" s="3"/>
      <c r="H26" s="6"/>
      <c r="I26" s="5"/>
      <c r="J26" s="3"/>
    </row>
    <row r="27" ht="28" customHeight="1" spans="1:10">
      <c r="A27" s="3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J28" s="3"/>
    </row>
    <row r="29" ht="28" customHeight="1" spans="1:10">
      <c r="A29" s="3"/>
      <c r="D29" s="3"/>
      <c r="G29" s="3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SUM(MonthlyIncome7_25410141720232932[CANTIDAD])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SUM(MonthlyExpenses8_26511131619222831[CANTIDAD])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'NOVIEMBRE 26'!TotalMonthlyIncome-'NOVIEMBRE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SUM('OCTUBRE 26'!F15+'NOVIEMBRE 26'!TotalMonthlySavings)</f>
        <v>37184.84</v>
      </c>
      <c r="G15" s="10"/>
    </row>
    <row r="16" s="3" customFormat="1" ht="31.5" customHeight="1" spans="2:10">
      <c r="B16" s="7" t="s">
        <v>24</v>
      </c>
      <c r="C16" s="7"/>
      <c r="D16"/>
      <c r="E16" s="7" t="s">
        <v>25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18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19</v>
      </c>
      <c r="F20" s="14"/>
      <c r="G20" s="3"/>
      <c r="H20" s="18"/>
      <c r="I20" s="14"/>
      <c r="J20" s="3"/>
    </row>
    <row r="21" ht="28" customHeight="1" spans="1:10">
      <c r="A21" s="3"/>
      <c r="D21" s="3"/>
      <c r="E21" s="19" t="s">
        <v>27</v>
      </c>
      <c r="F21" s="14"/>
      <c r="G21" s="3"/>
      <c r="H21" s="6"/>
      <c r="I21" s="5"/>
      <c r="J21" s="3"/>
    </row>
    <row r="22" ht="28" customHeight="1" spans="1:10">
      <c r="A22" s="3"/>
      <c r="D22" s="3"/>
      <c r="E22" s="13" t="s">
        <v>21</v>
      </c>
      <c r="F22" s="14"/>
      <c r="G22" s="3"/>
      <c r="H22" s="6"/>
      <c r="I22" s="5"/>
      <c r="J22" s="3"/>
    </row>
    <row r="23" ht="28" customHeight="1" spans="1:10">
      <c r="A23" s="3"/>
      <c r="D23" s="3"/>
      <c r="E23" s="13" t="s">
        <v>28</v>
      </c>
      <c r="F23" s="14"/>
      <c r="G23" s="3"/>
      <c r="H23" s="6"/>
      <c r="I23" s="5"/>
      <c r="J23" s="3"/>
    </row>
    <row r="24" ht="28" customHeight="1" spans="1:10">
      <c r="A24" s="3"/>
      <c r="D24" s="3"/>
      <c r="E24" s="13" t="s">
        <v>22</v>
      </c>
      <c r="F24" s="14"/>
      <c r="G24" s="3"/>
      <c r="H24" s="6"/>
      <c r="I24" s="5"/>
      <c r="J24" s="3"/>
    </row>
    <row r="25" ht="28" customHeight="1" spans="1:10">
      <c r="A25" s="3"/>
      <c r="D25" s="3"/>
      <c r="G25" s="3"/>
      <c r="H25" s="6"/>
      <c r="I25" s="5"/>
      <c r="J25" s="3"/>
    </row>
    <row r="26" ht="28" customHeight="1" spans="1:10">
      <c r="A26" s="3"/>
      <c r="D26" s="3"/>
      <c r="G26" s="3"/>
      <c r="H26" s="6"/>
      <c r="I26" s="5"/>
      <c r="J26" s="3"/>
    </row>
    <row r="27" ht="28" customHeight="1" spans="1:10">
      <c r="A27" s="3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SUM(MonthlyIncome7_254101417202329[CANTIDAD])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SUM(MonthlyExpenses8_265111316192228[CANTIDAD])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'OCTUBRE 26'!TotalMonthlyIncome-'OCTUBRE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SUM('SEPTIEMBRE 26'!F15+'OCTUBRE 26'!TotalMonthlySavings)</f>
        <v>37184.84</v>
      </c>
      <c r="G15" s="10"/>
    </row>
    <row r="16" s="3" customFormat="1" ht="31.5" customHeight="1" spans="2:10">
      <c r="B16" s="7" t="s">
        <v>29</v>
      </c>
      <c r="C16" s="7"/>
      <c r="D16"/>
      <c r="E16" s="7" t="s">
        <v>30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18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19</v>
      </c>
      <c r="F20" s="14"/>
      <c r="G20" s="3"/>
      <c r="H20" s="18"/>
      <c r="I20" s="14"/>
      <c r="J20" s="3"/>
    </row>
    <row r="21" ht="28" customHeight="1" spans="1:10">
      <c r="A21" s="3"/>
      <c r="D21" s="3"/>
      <c r="E21" s="13" t="s">
        <v>28</v>
      </c>
      <c r="F21" s="14"/>
      <c r="G21" s="3"/>
      <c r="H21" s="6"/>
      <c r="I21" s="5"/>
      <c r="J21" s="3"/>
    </row>
    <row r="22" ht="28" customHeight="1" spans="1:10">
      <c r="A22" s="3"/>
      <c r="D22" s="3"/>
      <c r="E22" s="13" t="s">
        <v>20</v>
      </c>
      <c r="F22" s="14"/>
      <c r="G22" s="3"/>
      <c r="H22" s="6"/>
      <c r="I22" s="5"/>
      <c r="J22" s="3"/>
    </row>
    <row r="23" ht="28" customHeight="1" spans="1:10">
      <c r="A23" s="3"/>
      <c r="D23" s="3"/>
      <c r="E23" s="13" t="s">
        <v>21</v>
      </c>
      <c r="F23" s="14"/>
      <c r="G23" s="3"/>
      <c r="H23" s="6"/>
      <c r="I23" s="5"/>
      <c r="J23" s="3"/>
    </row>
    <row r="24" ht="28" customHeight="1" spans="1:10">
      <c r="A24" s="3"/>
      <c r="D24" s="3"/>
      <c r="E24" s="13" t="s">
        <v>22</v>
      </c>
      <c r="F24" s="14"/>
      <c r="G24" s="3"/>
      <c r="H24" s="6"/>
      <c r="I24" s="5"/>
      <c r="J24" s="3"/>
    </row>
    <row r="25" ht="28" customHeight="1" spans="1:10">
      <c r="A25" s="3"/>
      <c r="D25" s="3"/>
      <c r="E25" s="19" t="s">
        <v>31</v>
      </c>
      <c r="F25" s="14"/>
      <c r="G25" s="3"/>
      <c r="H25" s="6"/>
      <c r="I25" s="5"/>
      <c r="J25" s="3"/>
    </row>
    <row r="26" ht="28" customHeight="1" spans="1:10">
      <c r="A26" s="3"/>
      <c r="D26" s="3"/>
      <c r="G26" s="3"/>
      <c r="H26" s="6"/>
      <c r="I26" s="5"/>
      <c r="J26" s="3"/>
    </row>
    <row r="27" ht="28" customHeight="1" spans="1:10">
      <c r="A27" s="3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9" sqref="B19:C19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SUM(MonthlyIncome7_2541014172023[CANTIDAD])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SUM(MonthlyExpenses8_2651113161922[CANTIDAD])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'SEPTIEMBRE 26'!TotalMonthlyIncome-'SEPTIEMBRE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SUM('AGOSTO 26'!F15+'SEPTIEMBRE 26'!TotalMonthlySavings)</f>
        <v>37184.84</v>
      </c>
      <c r="G15" s="10"/>
    </row>
    <row r="16" s="3" customFormat="1" ht="31.5" customHeight="1" spans="2:10">
      <c r="B16" s="7" t="s">
        <v>32</v>
      </c>
      <c r="C16" s="7"/>
      <c r="D16"/>
      <c r="E16" s="7" t="s">
        <v>33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18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34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9" t="s">
        <v>31</v>
      </c>
      <c r="F21" s="14"/>
      <c r="G21" s="3"/>
      <c r="H21" s="6"/>
      <c r="I21" s="5"/>
      <c r="J21" s="3"/>
    </row>
    <row r="22" ht="28" customHeight="1" spans="1:10">
      <c r="A22" s="3"/>
      <c r="D22" s="3"/>
      <c r="E22" s="13" t="s">
        <v>21</v>
      </c>
      <c r="F22" s="14"/>
      <c r="G22" s="3"/>
      <c r="H22" s="6"/>
      <c r="I22" s="5"/>
      <c r="J22" s="3"/>
    </row>
    <row r="23" ht="28" customHeight="1" spans="1:10">
      <c r="A23" s="3"/>
      <c r="D23" s="3"/>
      <c r="E23" s="13" t="s">
        <v>23</v>
      </c>
      <c r="F23" s="14"/>
      <c r="G23" s="3"/>
      <c r="H23" s="6"/>
      <c r="I23" s="5"/>
      <c r="J23" s="3"/>
    </row>
    <row r="24" ht="28" customHeight="1" spans="1:10">
      <c r="A24" s="3"/>
      <c r="D24" s="3"/>
      <c r="E24" s="13" t="s">
        <v>28</v>
      </c>
      <c r="F24" s="14"/>
      <c r="G24" s="3"/>
      <c r="H24" s="6"/>
      <c r="I24" s="5"/>
      <c r="J24" s="3"/>
    </row>
    <row r="25" ht="28" customHeight="1" spans="1:10">
      <c r="A25" s="3"/>
      <c r="D25" s="3"/>
      <c r="E25" s="13" t="s">
        <v>22</v>
      </c>
      <c r="F25" s="14"/>
      <c r="G25" s="3"/>
      <c r="H25" s="6"/>
      <c r="I25" s="5"/>
      <c r="J25" s="3"/>
    </row>
    <row r="26" ht="28" customHeight="1" spans="1:10">
      <c r="A26" s="3"/>
      <c r="D26" s="3"/>
      <c r="G26" s="3"/>
      <c r="H26" s="6"/>
      <c r="I26" s="5"/>
      <c r="J26" s="3"/>
    </row>
    <row r="27" ht="28" customHeight="1" spans="1:10">
      <c r="A27" s="3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SUM(MonthlyIncome7_25410141720[CANTIDAD])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SUM(MonthlyExpenses8_26511131619[CANTIDAD])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'AGOSTO 26'!TotalMonthlyIncome-'AGOSTO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SUM('JULIO 26'!F15+'AGOSTO 26'!TotalMonthlySavings)</f>
        <v>37184.84</v>
      </c>
      <c r="G15" s="10"/>
    </row>
    <row r="16" s="3" customFormat="1" ht="31.5" customHeight="1" spans="2:10">
      <c r="B16" s="7" t="s">
        <v>35</v>
      </c>
      <c r="C16" s="7"/>
      <c r="D16"/>
      <c r="E16" s="7" t="s">
        <v>36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18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37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9" t="s">
        <v>31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3" t="s">
        <v>19</v>
      </c>
      <c r="F22" s="14"/>
      <c r="G22" s="3"/>
      <c r="H22" s="6"/>
      <c r="I22" s="5"/>
      <c r="J22" s="3"/>
    </row>
    <row r="23" ht="28" customHeight="1" spans="1:10">
      <c r="A23" s="3"/>
      <c r="D23" s="3"/>
      <c r="E23" s="13" t="s">
        <v>23</v>
      </c>
      <c r="F23" s="14"/>
      <c r="G23" s="3"/>
      <c r="H23" s="6"/>
      <c r="I23" s="5"/>
      <c r="J23" s="3"/>
    </row>
    <row r="24" ht="28" customHeight="1" spans="1:10">
      <c r="A24" s="3"/>
      <c r="D24" s="3"/>
      <c r="E24" s="13" t="s">
        <v>21</v>
      </c>
      <c r="F24" s="14"/>
      <c r="G24" s="3"/>
      <c r="H24" s="6"/>
      <c r="I24" s="5"/>
      <c r="J24" s="3"/>
    </row>
    <row r="25" ht="28" customHeight="1" spans="1:10">
      <c r="A25" s="3"/>
      <c r="D25" s="3"/>
      <c r="E25" s="13" t="s">
        <v>22</v>
      </c>
      <c r="F25" s="14"/>
      <c r="G25" s="3"/>
      <c r="H25" s="6"/>
      <c r="I25" s="5"/>
      <c r="J25" s="3"/>
    </row>
    <row r="26" ht="28" customHeight="1" spans="1:10">
      <c r="A26" s="3"/>
      <c r="D26" s="3"/>
      <c r="E26" s="13"/>
      <c r="F26" s="14"/>
      <c r="G26" s="3"/>
      <c r="H26" s="6"/>
      <c r="I26" s="5"/>
      <c r="J26" s="3"/>
    </row>
    <row r="27" ht="28" customHeight="1" spans="1:10">
      <c r="A27" s="3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SUM(MonthlyIncome7_254101417[CANTIDAD])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SUM(MonthlyExpenses8_265111316[CANTIDAD])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'JULIO 26'!TotalMonthlyIncome-'JULIO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SUM('JUNIO 26'!F15+'JULIO 26'!TotalMonthlySavings)</f>
        <v>37184.84</v>
      </c>
      <c r="G15" s="10"/>
    </row>
    <row r="16" s="3" customFormat="1" ht="31.5" customHeight="1" spans="2:10">
      <c r="B16" s="7" t="s">
        <v>38</v>
      </c>
      <c r="C16" s="7"/>
      <c r="D16"/>
      <c r="E16" s="7" t="s">
        <v>39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9" t="s">
        <v>37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17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18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3" t="s">
        <v>40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9" t="s">
        <v>19</v>
      </c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9" t="s">
        <v>41</v>
      </c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3" t="s">
        <v>28</v>
      </c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21</v>
      </c>
      <c r="F25" s="14"/>
      <c r="G25" s="3"/>
      <c r="H25" s="6"/>
      <c r="I25" s="5"/>
      <c r="J25" s="3"/>
    </row>
    <row r="26" ht="28" customHeight="1" spans="1:10">
      <c r="A26" s="3"/>
      <c r="D26" s="3"/>
      <c r="E26" s="13" t="s">
        <v>23</v>
      </c>
      <c r="F26" s="14"/>
      <c r="G26" s="3"/>
      <c r="H26" s="6"/>
      <c r="I26" s="5"/>
      <c r="J26" s="3"/>
    </row>
    <row r="27" ht="28" customHeight="1" spans="1:10">
      <c r="A27" s="3"/>
      <c r="D27" s="3"/>
      <c r="E27" s="13" t="s">
        <v>22</v>
      </c>
      <c r="F27" s="14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SUM(MonthlyIncome7_2541014[CANTIDAD])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SUM(MonthlyExpenses8_2651113[CANTIDAD])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'JUNIO 26'!TotalMonthlyIncome-'JUNIO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SUM('MAYO 26'!F15+'JUNIO 26'!TotalMonthlySavings)</f>
        <v>37184.84</v>
      </c>
      <c r="G15" s="10"/>
    </row>
    <row r="16" s="3" customFormat="1" ht="31.5" customHeight="1" spans="2:10">
      <c r="B16" s="7" t="s">
        <v>42</v>
      </c>
      <c r="C16" s="7"/>
      <c r="D16"/>
      <c r="E16" s="7" t="s">
        <v>43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9" t="s">
        <v>44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45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3" t="s">
        <v>18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3" t="s">
        <v>40</v>
      </c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9" t="s">
        <v>19</v>
      </c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3" t="s">
        <v>28</v>
      </c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23</v>
      </c>
      <c r="F25" s="14"/>
      <c r="G25" s="3"/>
      <c r="H25" s="6"/>
      <c r="I25" s="5"/>
      <c r="J25" s="3"/>
    </row>
    <row r="26" ht="28" customHeight="1" spans="1:10">
      <c r="A26" s="3"/>
      <c r="D26" s="3"/>
      <c r="E26" s="13" t="s">
        <v>21</v>
      </c>
      <c r="F26" s="14"/>
      <c r="G26" s="3"/>
      <c r="H26" s="6"/>
      <c r="I26" s="5"/>
      <c r="J26" s="3"/>
    </row>
    <row r="27" ht="28" customHeight="1" spans="1:10">
      <c r="A27" s="3"/>
      <c r="D27" s="3"/>
      <c r="E27" s="13" t="s">
        <v>22</v>
      </c>
      <c r="F27" s="14"/>
      <c r="G27" s="3"/>
      <c r="H27" s="6"/>
      <c r="I27" s="5"/>
      <c r="J27" s="3"/>
    </row>
    <row r="28" ht="28" customHeight="1" spans="1:10">
      <c r="A28" s="3"/>
      <c r="D28" s="3"/>
      <c r="E28" s="19" t="s">
        <v>46</v>
      </c>
      <c r="F28" s="14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SUM(MonthlyIncome7_25410[CANTIDAD])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SUM(MonthlyExpenses8_26511[CANTIDAD])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'MAYO 26'!TotalMonthlyIncome-'MAYO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SUM('ABRIL 26'!F15+'MAYO 26'!TotalMonthlySavings)</f>
        <v>37184.84</v>
      </c>
      <c r="G15" s="10"/>
    </row>
    <row r="16" s="3" customFormat="1" ht="31.5" customHeight="1" spans="2:10">
      <c r="B16" s="7" t="s">
        <v>47</v>
      </c>
      <c r="C16" s="7"/>
      <c r="D16"/>
      <c r="E16" s="7" t="s">
        <v>48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13"/>
      <c r="C19" s="14"/>
      <c r="D19" s="3"/>
      <c r="E19" s="13" t="s">
        <v>37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9" t="s">
        <v>49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9" t="s">
        <v>19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3" t="s">
        <v>18</v>
      </c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3" t="s">
        <v>21</v>
      </c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9" t="s">
        <v>50</v>
      </c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28</v>
      </c>
      <c r="F25" s="14"/>
      <c r="G25" s="3"/>
      <c r="H25" s="6"/>
      <c r="I25" s="5"/>
      <c r="J25" s="3"/>
    </row>
    <row r="26" ht="28" customHeight="1" spans="1:10">
      <c r="A26" s="3"/>
      <c r="B26" s="3"/>
      <c r="C26" s="15"/>
      <c r="D26" s="3"/>
      <c r="E26" s="19" t="s">
        <v>46</v>
      </c>
      <c r="F26" s="14"/>
      <c r="G26" s="3"/>
      <c r="H26" s="6"/>
      <c r="I26" s="5"/>
      <c r="J26" s="3"/>
    </row>
    <row r="27" ht="28" customHeight="1" spans="1:10">
      <c r="A27" s="3"/>
      <c r="B27" s="3"/>
      <c r="C27" s="15"/>
      <c r="D27" s="3"/>
      <c r="E27" s="13" t="s">
        <v>23</v>
      </c>
      <c r="F27" s="14"/>
      <c r="G27" s="3"/>
      <c r="H27" s="6"/>
      <c r="I27" s="5"/>
      <c r="J27" s="3"/>
    </row>
    <row r="28" ht="28" customHeight="1" spans="1:10">
      <c r="A28" s="3"/>
      <c r="B28" s="3"/>
      <c r="C28" s="15"/>
      <c r="D28" s="3"/>
      <c r="E28" s="19" t="s">
        <v>51</v>
      </c>
      <c r="F28" s="14"/>
      <c r="G28" s="3"/>
      <c r="H28" s="6"/>
      <c r="I28" s="5"/>
      <c r="J28" s="3"/>
    </row>
    <row r="29" ht="28" customHeight="1" spans="1:10">
      <c r="A29" s="3"/>
      <c r="D29" s="3"/>
      <c r="E29" s="13" t="s">
        <v>22</v>
      </c>
      <c r="F29" s="14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9"/>
  <sheetViews>
    <sheetView showGridLines="0" zoomScale="80" zoomScaleNormal="80" workbookViewId="0">
      <selection activeCell="B18" sqref="B18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0" customFormat="1" ht="5.25" customHeight="1" spans="1:1">
      <c r="A1" s="21"/>
    </row>
    <row r="2" s="2" customFormat="1" ht="40.5" customHeight="1" spans="2:11">
      <c r="B2" s="2" t="s">
        <v>0</v>
      </c>
      <c r="K2" s="2" t="s">
        <v>1</v>
      </c>
    </row>
    <row r="3" s="3" customFormat="1" ht="33" customHeight="1" spans="2:6">
      <c r="B3" s="7" t="s">
        <v>2</v>
      </c>
      <c r="F3" s="7" t="s">
        <v>3</v>
      </c>
    </row>
    <row r="4" s="3" customFormat="1" ht="18.75" customHeight="1" spans="5:7">
      <c r="E4" s="8"/>
      <c r="F4" s="9" t="s">
        <v>4</v>
      </c>
      <c r="G4" s="9"/>
    </row>
    <row r="5" s="3" customFormat="1" ht="3.75" customHeight="1" spans="5:7">
      <c r="E5" s="8"/>
      <c r="F5"/>
      <c r="G5"/>
    </row>
    <row r="6" s="3" customFormat="1" ht="46.5" customHeight="1" spans="5:10">
      <c r="E6" s="8"/>
      <c r="F6" s="10">
        <f>SUM(MonthlyIncome7_254[CANTIDAD])</f>
        <v>0</v>
      </c>
      <c r="G6" s="10"/>
      <c r="I6" s="8"/>
      <c r="J6" s="16"/>
    </row>
    <row r="7" s="3" customFormat="1" ht="18.75" customHeight="1" spans="6:10">
      <c r="F7" s="9" t="s">
        <v>5</v>
      </c>
      <c r="G7" s="9"/>
      <c r="I7" s="8"/>
      <c r="J7" s="16"/>
    </row>
    <row r="8" s="3" customFormat="1" ht="3.75" customHeight="1" spans="6:10">
      <c r="F8"/>
      <c r="G8"/>
      <c r="I8" s="8"/>
      <c r="J8" s="16"/>
    </row>
    <row r="9" s="3" customFormat="1" ht="46.5" customHeight="1" spans="5:7">
      <c r="E9" s="11"/>
      <c r="F9" s="10">
        <f>SUM(MonthlyExpenses8_265[CANTIDAD])</f>
        <v>0</v>
      </c>
      <c r="G9" s="10"/>
    </row>
    <row r="10" s="3" customFormat="1" ht="18.75" customHeight="1" spans="1:7">
      <c r="A10" s="11"/>
      <c r="E10" s="11"/>
      <c r="F10" s="9" t="s">
        <v>6</v>
      </c>
      <c r="G10" s="9"/>
    </row>
    <row r="11" s="3" customFormat="1" ht="3.75" customHeight="1" spans="1:7">
      <c r="A11" s="11"/>
      <c r="E11" s="11"/>
      <c r="F11"/>
      <c r="G11"/>
    </row>
    <row r="12" s="3" customFormat="1" ht="46.5" customHeight="1" spans="1:7">
      <c r="A12" s="11"/>
      <c r="E12" s="11"/>
      <c r="F12" s="10">
        <f>'ABRIL 26'!TotalMonthlyIncome-'ABRIL 26'!TotalMonthlyExpenses</f>
        <v>0</v>
      </c>
      <c r="G12" s="10"/>
    </row>
    <row r="13" s="3" customFormat="1" ht="18.75" customHeight="1" spans="1:7">
      <c r="A13" s="11"/>
      <c r="E13" s="11"/>
      <c r="F13" s="9" t="s">
        <v>7</v>
      </c>
      <c r="G13" s="9"/>
    </row>
    <row r="14" s="3" customFormat="1" ht="3.75" customHeight="1" spans="1:7">
      <c r="A14" s="11"/>
      <c r="E14" s="11"/>
      <c r="F14"/>
      <c r="G14"/>
    </row>
    <row r="15" s="3" customFormat="1" ht="46.5" customHeight="1" spans="1:7">
      <c r="A15" s="11"/>
      <c r="E15" s="11"/>
      <c r="F15" s="10">
        <f>SUM('MARZO 26'!F14+'ABRIL 26'!TotalMonthlySavings)</f>
        <v>37184.84</v>
      </c>
      <c r="G15" s="10"/>
    </row>
    <row r="16" s="3" customFormat="1" ht="31.5" customHeight="1" spans="2:10">
      <c r="B16" s="7" t="s">
        <v>52</v>
      </c>
      <c r="C16" s="7"/>
      <c r="D16"/>
      <c r="E16" s="7" t="s">
        <v>53</v>
      </c>
      <c r="F16" s="7"/>
      <c r="G16" s="7"/>
      <c r="H16"/>
      <c r="I16" s="7" t="s">
        <v>10</v>
      </c>
      <c r="J16" s="7"/>
    </row>
    <row r="17" s="3" customFormat="1" ht="39.75" customHeight="1" spans="2:9">
      <c r="B17" s="12" t="s">
        <v>11</v>
      </c>
      <c r="C17" s="12" t="s">
        <v>12</v>
      </c>
      <c r="E17" s="12" t="s">
        <v>11</v>
      </c>
      <c r="F17" s="12" t="s">
        <v>12</v>
      </c>
      <c r="H17" s="12" t="s">
        <v>26</v>
      </c>
      <c r="I17" s="12" t="s">
        <v>12</v>
      </c>
    </row>
    <row r="18" ht="28" customHeight="1" spans="1:10">
      <c r="A18" s="3"/>
      <c r="B18" s="13" t="s">
        <v>16</v>
      </c>
      <c r="C18" s="14"/>
      <c r="D18" s="3"/>
      <c r="E18" s="13" t="s">
        <v>17</v>
      </c>
      <c r="F18" s="14"/>
      <c r="G18" s="3"/>
      <c r="H18" s="18"/>
      <c r="I18" s="14"/>
      <c r="J18" s="3"/>
    </row>
    <row r="19" ht="28" customHeight="1" spans="1:10">
      <c r="A19" s="3"/>
      <c r="B19" s="13" t="s">
        <v>54</v>
      </c>
      <c r="C19" s="14"/>
      <c r="D19" s="3"/>
      <c r="E19" s="13" t="s">
        <v>18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31</v>
      </c>
      <c r="F20" s="14"/>
      <c r="G20" s="3"/>
      <c r="H20" s="18"/>
      <c r="I20" s="14"/>
      <c r="J20" s="3"/>
    </row>
    <row r="21" ht="28" customHeight="1" spans="1:10">
      <c r="A21" s="3"/>
      <c r="B21" s="3"/>
      <c r="C21" s="15"/>
      <c r="D21" s="3"/>
      <c r="E21" s="13" t="s">
        <v>21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3" t="s">
        <v>28</v>
      </c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9" t="s">
        <v>51</v>
      </c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9" t="s">
        <v>46</v>
      </c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22</v>
      </c>
      <c r="F25" s="14"/>
      <c r="G25" s="3"/>
      <c r="H25" s="6"/>
      <c r="I25" s="5"/>
      <c r="J25" s="3"/>
    </row>
    <row r="26" ht="28" customHeight="1" spans="1:10">
      <c r="A26" s="3"/>
      <c r="B26" s="3"/>
      <c r="C26" s="15"/>
      <c r="D26" s="3"/>
      <c r="E26" s="19"/>
      <c r="F26" s="14"/>
      <c r="G26" s="3"/>
      <c r="H26" s="6"/>
      <c r="I26" s="5"/>
      <c r="J26" s="3"/>
    </row>
    <row r="27" ht="28" customHeight="1" spans="1:10">
      <c r="A27" s="3"/>
      <c r="B27" s="3"/>
      <c r="C27" s="15"/>
      <c r="D27" s="3"/>
      <c r="E27" s="13"/>
      <c r="F27" s="14"/>
      <c r="G27" s="3"/>
      <c r="H27" s="6"/>
      <c r="I27" s="5"/>
      <c r="J27" s="3"/>
    </row>
    <row r="28" ht="28" customHeight="1" spans="1:10">
      <c r="A28" s="3"/>
      <c r="B28" s="3"/>
      <c r="C28" s="15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4:G4"/>
    <mergeCell ref="F6:G6"/>
    <mergeCell ref="F7:G7"/>
    <mergeCell ref="F9:G9"/>
    <mergeCell ref="F10:G10"/>
    <mergeCell ref="F12:G12"/>
    <mergeCell ref="F13:G13"/>
    <mergeCell ref="F15:G15"/>
  </mergeCells>
  <conditionalFormatting sqref="F15:G15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8"/>
  <sheetViews>
    <sheetView showGridLines="0" tabSelected="1" zoomScale="80" zoomScaleNormal="80" workbookViewId="0">
      <selection activeCell="A1" sqref="$A1:$XFD1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" customFormat="1" ht="40.5" customHeight="1" spans="2:11">
      <c r="B1" s="2" t="s">
        <v>0</v>
      </c>
      <c r="K1" s="2" t="s">
        <v>1</v>
      </c>
    </row>
    <row r="2" s="3" customFormat="1" ht="33" customHeight="1" spans="2:6">
      <c r="B2" s="7" t="s">
        <v>2</v>
      </c>
      <c r="F2" s="7" t="s">
        <v>3</v>
      </c>
    </row>
    <row r="3" s="3" customFormat="1" ht="18.75" customHeight="1" spans="5:7">
      <c r="E3" s="8"/>
      <c r="F3" s="9" t="s">
        <v>4</v>
      </c>
      <c r="G3" s="9"/>
    </row>
    <row r="4" s="3" customFormat="1" ht="3.75" customHeight="1" spans="5:7">
      <c r="E4" s="8"/>
      <c r="F4"/>
      <c r="G4"/>
    </row>
    <row r="5" s="3" customFormat="1" ht="46.5" customHeight="1" spans="5:10">
      <c r="E5" s="8"/>
      <c r="F5" s="10">
        <f>SUM(MonthlyIncome7_25[CANTIDAD])</f>
        <v>0</v>
      </c>
      <c r="G5" s="10"/>
      <c r="I5" s="8"/>
      <c r="J5" s="16"/>
    </row>
    <row r="6" s="3" customFormat="1" ht="18.75" customHeight="1" spans="6:10">
      <c r="F6" s="9" t="s">
        <v>5</v>
      </c>
      <c r="G6" s="9"/>
      <c r="I6" s="8"/>
      <c r="J6" s="16"/>
    </row>
    <row r="7" s="3" customFormat="1" ht="3.75" customHeight="1" spans="6:10">
      <c r="F7"/>
      <c r="G7"/>
      <c r="I7" s="8"/>
      <c r="J7" s="16"/>
    </row>
    <row r="8" s="3" customFormat="1" ht="46.5" customHeight="1" spans="5:7">
      <c r="E8" s="11"/>
      <c r="F8" s="10">
        <f>SUM(MonthlyExpenses8_26[CANTIDAD])</f>
        <v>0</v>
      </c>
      <c r="G8" s="10"/>
    </row>
    <row r="9" s="3" customFormat="1" ht="18.75" customHeight="1" spans="1:7">
      <c r="A9" s="11"/>
      <c r="E9" s="11"/>
      <c r="F9" s="9" t="s">
        <v>6</v>
      </c>
      <c r="G9" s="9"/>
    </row>
    <row r="10" s="3" customFormat="1" ht="3.75" customHeight="1" spans="1:7">
      <c r="A10" s="11"/>
      <c r="E10" s="11"/>
      <c r="F10"/>
      <c r="G10"/>
    </row>
    <row r="11" s="3" customFormat="1" ht="46.5" customHeight="1" spans="1:7">
      <c r="A11" s="11"/>
      <c r="E11" s="11"/>
      <c r="F11" s="10">
        <f>'MARZO 26'!TotalMonthlyIncome-'MARZO 26'!TotalMonthlyExpenses</f>
        <v>0</v>
      </c>
      <c r="G11" s="10"/>
    </row>
    <row r="12" s="3" customFormat="1" ht="18.75" customHeight="1" spans="1:7">
      <c r="A12" s="11"/>
      <c r="E12" s="11"/>
      <c r="F12" s="9" t="s">
        <v>7</v>
      </c>
      <c r="G12" s="9"/>
    </row>
    <row r="13" s="3" customFormat="1" ht="3.75" customHeight="1" spans="1:7">
      <c r="A13" s="11"/>
      <c r="E13" s="11"/>
      <c r="F13"/>
      <c r="G13"/>
    </row>
    <row r="14" s="3" customFormat="1" ht="46.5" customHeight="1" spans="1:7">
      <c r="A14" s="11"/>
      <c r="E14" s="11"/>
      <c r="F14" s="10">
        <f>SUM('FEBRERO 26'!F14+'MARZO 26'!TotalMonthlySavings)</f>
        <v>37184.84</v>
      </c>
      <c r="G14" s="10"/>
    </row>
    <row r="15" s="3" customFormat="1" ht="31.5" customHeight="1" spans="2:10">
      <c r="B15" s="7" t="s">
        <v>55</v>
      </c>
      <c r="C15" s="7"/>
      <c r="D15"/>
      <c r="E15" s="7" t="s">
        <v>56</v>
      </c>
      <c r="F15" s="7"/>
      <c r="G15" s="7"/>
      <c r="H15"/>
      <c r="I15" s="7" t="s">
        <v>10</v>
      </c>
      <c r="J15" s="7"/>
    </row>
    <row r="16" s="3" customFormat="1" ht="39.75" customHeight="1" spans="2:9">
      <c r="B16" s="12" t="s">
        <v>11</v>
      </c>
      <c r="C16" s="12" t="s">
        <v>12</v>
      </c>
      <c r="E16" s="12" t="s">
        <v>11</v>
      </c>
      <c r="F16" s="12" t="s">
        <v>12</v>
      </c>
      <c r="H16" s="12" t="s">
        <v>26</v>
      </c>
      <c r="I16" s="12" t="s">
        <v>12</v>
      </c>
    </row>
    <row r="17" ht="28" customHeight="1" spans="1:10">
      <c r="A17" s="3"/>
      <c r="B17" s="13" t="s">
        <v>16</v>
      </c>
      <c r="C17" s="14"/>
      <c r="D17" s="3"/>
      <c r="E17" s="13" t="s">
        <v>17</v>
      </c>
      <c r="F17" s="14"/>
      <c r="G17" s="3"/>
      <c r="H17" s="18"/>
      <c r="I17" s="14"/>
      <c r="J17" s="3"/>
    </row>
    <row r="18" ht="28" customHeight="1" spans="1:10">
      <c r="A18" s="3"/>
      <c r="B18" s="3"/>
      <c r="C18" s="15"/>
      <c r="D18" s="3"/>
      <c r="E18" s="13" t="s">
        <v>18</v>
      </c>
      <c r="F18" s="14"/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37</v>
      </c>
      <c r="F19" s="14"/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19</v>
      </c>
      <c r="F20" s="14"/>
      <c r="G20" s="3"/>
      <c r="H20" s="6"/>
      <c r="I20" s="5"/>
      <c r="J20" s="3"/>
    </row>
    <row r="21" ht="28" customHeight="1" spans="1:10">
      <c r="A21" s="3"/>
      <c r="B21" s="3"/>
      <c r="C21" s="15"/>
      <c r="D21" s="3"/>
      <c r="E21" s="13" t="s">
        <v>28</v>
      </c>
      <c r="F21" s="14"/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9" t="s">
        <v>23</v>
      </c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3" t="s">
        <v>21</v>
      </c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9" t="s">
        <v>51</v>
      </c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57</v>
      </c>
      <c r="F25" s="14"/>
      <c r="G25" s="3"/>
      <c r="H25" s="6"/>
      <c r="I25" s="5"/>
      <c r="J25" s="3"/>
    </row>
    <row r="26" ht="28" customHeight="1" spans="1:10">
      <c r="A26" s="3"/>
      <c r="B26" s="3"/>
      <c r="C26" s="15"/>
      <c r="D26" s="3"/>
      <c r="E26" s="13" t="s">
        <v>22</v>
      </c>
      <c r="F26" s="14"/>
      <c r="G26" s="3"/>
      <c r="H26" s="6"/>
      <c r="I26" s="5"/>
      <c r="J26" s="3"/>
    </row>
    <row r="27" ht="28" customHeight="1" spans="1:10">
      <c r="A27" s="3"/>
      <c r="D27" s="3"/>
      <c r="E27" s="19"/>
      <c r="F27" s="14"/>
      <c r="G27" s="3"/>
      <c r="H27" s="6"/>
      <c r="I27" s="5"/>
      <c r="J27" s="3"/>
    </row>
    <row r="28" ht="28" customHeight="1" spans="1:10">
      <c r="A28" s="3"/>
      <c r="D28" s="3"/>
      <c r="E28" s="13"/>
      <c r="F28" s="14"/>
      <c r="G28" s="3"/>
      <c r="H28" s="6"/>
      <c r="I28" s="5"/>
      <c r="J28" s="3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249977111117893"/>
    <pageSetUpPr fitToPage="1"/>
  </sheetPr>
  <dimension ref="A1:K28"/>
  <sheetViews>
    <sheetView showGridLines="0" zoomScale="80" zoomScaleNormal="80" workbookViewId="0">
      <selection activeCell="A1" sqref="$A1:$XFD1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5.6666666666667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" customFormat="1" ht="40.5" customHeight="1" spans="2:11">
      <c r="B1" s="2" t="s">
        <v>0</v>
      </c>
      <c r="K1" s="2" t="s">
        <v>1</v>
      </c>
    </row>
    <row r="2" s="3" customFormat="1" ht="33" customHeight="1" spans="2:6">
      <c r="B2" s="7" t="s">
        <v>2</v>
      </c>
      <c r="F2" s="7" t="s">
        <v>3</v>
      </c>
    </row>
    <row r="3" s="3" customFormat="1" ht="18.75" customHeight="1" spans="5:7">
      <c r="E3" s="8"/>
      <c r="F3" s="9" t="s">
        <v>4</v>
      </c>
      <c r="G3" s="9"/>
    </row>
    <row r="4" s="3" customFormat="1" ht="3.75" customHeight="1" spans="5:7">
      <c r="E4" s="8"/>
      <c r="F4"/>
      <c r="G4"/>
    </row>
    <row r="5" s="3" customFormat="1" ht="46.5" customHeight="1" spans="5:10">
      <c r="E5" s="8"/>
      <c r="F5" s="10">
        <f>SUM(MonthlyIncome7[CANTIDAD])</f>
        <v>1094.5</v>
      </c>
      <c r="G5" s="10"/>
      <c r="I5" s="8"/>
      <c r="J5" s="16"/>
    </row>
    <row r="6" s="3" customFormat="1" ht="18.75" customHeight="1" spans="6:10">
      <c r="F6" s="9" t="s">
        <v>5</v>
      </c>
      <c r="G6" s="9"/>
      <c r="I6" s="8"/>
      <c r="J6" s="16"/>
    </row>
    <row r="7" s="3" customFormat="1" ht="3.75" customHeight="1" spans="6:10">
      <c r="F7"/>
      <c r="G7"/>
      <c r="I7" s="8"/>
      <c r="J7" s="16"/>
    </row>
    <row r="8" s="3" customFormat="1" ht="46.5" customHeight="1" spans="5:7">
      <c r="E8" s="11"/>
      <c r="F8" s="10">
        <f>SUM(MonthlyExpenses8[CANTIDAD])</f>
        <v>572.57</v>
      </c>
      <c r="G8" s="10"/>
    </row>
    <row r="9" s="3" customFormat="1" ht="18.75" customHeight="1" spans="1:7">
      <c r="A9" s="11"/>
      <c r="E9" s="11"/>
      <c r="F9" s="9" t="s">
        <v>6</v>
      </c>
      <c r="G9" s="9"/>
    </row>
    <row r="10" s="3" customFormat="1" ht="3.75" customHeight="1" spans="1:7">
      <c r="A10" s="11"/>
      <c r="E10" s="11"/>
      <c r="F10"/>
      <c r="G10"/>
    </row>
    <row r="11" s="3" customFormat="1" ht="46.5" customHeight="1" spans="1:7">
      <c r="A11" s="11"/>
      <c r="E11" s="11"/>
      <c r="F11" s="10">
        <f>'FEBRERO 26'!TotalMonthlyIncome-'FEBRERO 26'!TotalMonthlyExpenses</f>
        <v>521.93</v>
      </c>
      <c r="G11" s="10"/>
    </row>
    <row r="12" s="3" customFormat="1" ht="18.75" customHeight="1" spans="1:7">
      <c r="A12" s="11"/>
      <c r="E12" s="11"/>
      <c r="F12" s="9" t="s">
        <v>7</v>
      </c>
      <c r="G12" s="9"/>
    </row>
    <row r="13" s="3" customFormat="1" ht="3.75" customHeight="1" spans="1:7">
      <c r="A13" s="11"/>
      <c r="E13" s="11"/>
      <c r="F13"/>
      <c r="G13"/>
    </row>
    <row r="14" s="3" customFormat="1" ht="46.5" customHeight="1" spans="1:7">
      <c r="A14" s="11"/>
      <c r="E14" s="11"/>
      <c r="F14" s="10">
        <f>SUM('ENERO 26'!F14+'FEBRERO 26'!TotalMonthlySavings)</f>
        <v>37184.84</v>
      </c>
      <c r="G14" s="10"/>
    </row>
    <row r="15" s="3" customFormat="1" ht="31.5" customHeight="1" spans="2:10">
      <c r="B15" s="7" t="s">
        <v>58</v>
      </c>
      <c r="C15" s="7"/>
      <c r="D15"/>
      <c r="E15" s="7" t="s">
        <v>59</v>
      </c>
      <c r="F15" s="7"/>
      <c r="G15" s="7"/>
      <c r="H15"/>
      <c r="I15" s="7" t="s">
        <v>10</v>
      </c>
      <c r="J15" s="7"/>
    </row>
    <row r="16" s="3" customFormat="1" ht="39.75" customHeight="1" spans="2:9">
      <c r="B16" s="12" t="s">
        <v>11</v>
      </c>
      <c r="C16" s="12" t="s">
        <v>12</v>
      </c>
      <c r="E16" s="12" t="s">
        <v>11</v>
      </c>
      <c r="F16" s="12" t="s">
        <v>12</v>
      </c>
      <c r="H16" s="12" t="s">
        <v>26</v>
      </c>
      <c r="I16" s="12" t="s">
        <v>12</v>
      </c>
    </row>
    <row r="17" ht="28" customHeight="1" spans="1:10">
      <c r="A17" s="3"/>
      <c r="B17" s="13" t="s">
        <v>16</v>
      </c>
      <c r="C17" s="14">
        <v>1086.5</v>
      </c>
      <c r="D17" s="3"/>
      <c r="E17" s="13" t="s">
        <v>17</v>
      </c>
      <c r="F17" s="14">
        <v>487.25</v>
      </c>
      <c r="G17" s="3"/>
      <c r="H17" s="18"/>
      <c r="I17" s="14"/>
      <c r="J17" s="3"/>
    </row>
    <row r="18" ht="28" customHeight="1" spans="1:10">
      <c r="A18" s="3"/>
      <c r="B18" s="13" t="s">
        <v>60</v>
      </c>
      <c r="C18" s="14">
        <v>8</v>
      </c>
      <c r="D18" s="3"/>
      <c r="E18" s="13" t="s">
        <v>18</v>
      </c>
      <c r="F18" s="14">
        <v>62.33</v>
      </c>
      <c r="G18" s="3"/>
      <c r="H18" s="18"/>
      <c r="I18" s="14"/>
      <c r="J18" s="3"/>
    </row>
    <row r="19" ht="28" customHeight="1" spans="1:10">
      <c r="A19" s="3"/>
      <c r="B19" s="3"/>
      <c r="C19" s="15"/>
      <c r="D19" s="3"/>
      <c r="E19" s="13" t="s">
        <v>21</v>
      </c>
      <c r="F19" s="14">
        <v>10</v>
      </c>
      <c r="G19" s="3"/>
      <c r="H19" s="18"/>
      <c r="I19" s="14"/>
      <c r="J19" s="3"/>
    </row>
    <row r="20" ht="28" customHeight="1" spans="1:10">
      <c r="A20" s="3"/>
      <c r="B20" s="3"/>
      <c r="C20" s="15"/>
      <c r="D20" s="3"/>
      <c r="E20" s="13" t="s">
        <v>60</v>
      </c>
      <c r="F20" s="14">
        <v>9.99</v>
      </c>
      <c r="G20" s="3"/>
      <c r="H20" s="6"/>
      <c r="I20" s="5"/>
      <c r="J20" s="3"/>
    </row>
    <row r="21" ht="28" customHeight="1" spans="1:10">
      <c r="A21" s="3"/>
      <c r="B21" s="3"/>
      <c r="C21" s="15"/>
      <c r="D21" s="3"/>
      <c r="E21" s="13" t="s">
        <v>22</v>
      </c>
      <c r="F21" s="14">
        <v>3</v>
      </c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13"/>
      <c r="F22" s="14"/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3"/>
      <c r="F23" s="14"/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19"/>
      <c r="F24" s="14"/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9"/>
      <c r="F25" s="14"/>
      <c r="G25" s="3"/>
      <c r="H25" s="6"/>
      <c r="I25" s="5"/>
      <c r="J25" s="3"/>
    </row>
    <row r="26" ht="28" customHeight="1" spans="1:10">
      <c r="A26" s="3"/>
      <c r="B26" s="3"/>
      <c r="C26" s="15"/>
      <c r="D26" s="3"/>
      <c r="E26" s="19"/>
      <c r="F26" s="14"/>
      <c r="G26" s="3"/>
      <c r="H26" s="6"/>
      <c r="I26" s="5"/>
      <c r="J26" s="3"/>
    </row>
    <row r="27" ht="28" customHeight="1" spans="1:10">
      <c r="A27" s="3"/>
      <c r="D27" s="3"/>
      <c r="E27" s="13"/>
      <c r="F27" s="14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3" tint="0.249977111117893"/>
    <pageSetUpPr fitToPage="1"/>
  </sheetPr>
  <dimension ref="A1:K29"/>
  <sheetViews>
    <sheetView showGridLines="0" zoomScale="80" zoomScaleNormal="80" workbookViewId="0">
      <selection activeCell="A1" sqref="$A1:$XFD1"/>
    </sheetView>
  </sheetViews>
  <sheetFormatPr defaultColWidth="9.16190476190476" defaultRowHeight="27.75" customHeight="1"/>
  <cols>
    <col min="1" max="1" width="4.5047619047619" style="4" customWidth="1"/>
    <col min="2" max="2" width="23.8285714285714" style="4" customWidth="1"/>
    <col min="3" max="3" width="15.6666666666667" style="5" customWidth="1"/>
    <col min="4" max="4" width="6.5047619047619" style="4" customWidth="1"/>
    <col min="5" max="5" width="19.6666666666667" style="4" customWidth="1"/>
    <col min="6" max="6" width="15.6666666666667" style="6" customWidth="1"/>
    <col min="7" max="7" width="15.6666666666667" style="5" customWidth="1"/>
    <col min="8" max="8" width="6.5047619047619" style="4" customWidth="1"/>
    <col min="9" max="9" width="19.8571428571429" style="6" customWidth="1"/>
    <col min="10" max="10" width="15.6666666666667" style="5" customWidth="1"/>
    <col min="11" max="11" width="4.5047619047619" style="4" customWidth="1"/>
    <col min="12" max="16384" width="9.16190476190476" style="4"/>
  </cols>
  <sheetData>
    <row r="1" s="2" customFormat="1" ht="40.5" customHeight="1" spans="2:11">
      <c r="B1" s="2" t="s">
        <v>0</v>
      </c>
      <c r="K1" s="2" t="s">
        <v>1</v>
      </c>
    </row>
    <row r="2" s="3" customFormat="1" ht="33" customHeight="1" spans="2:6">
      <c r="B2" s="7" t="s">
        <v>2</v>
      </c>
      <c r="F2" s="7" t="s">
        <v>3</v>
      </c>
    </row>
    <row r="3" s="3" customFormat="1" ht="18.75" customHeight="1" spans="5:7">
      <c r="E3" s="8"/>
      <c r="F3" s="9" t="s">
        <v>4</v>
      </c>
      <c r="G3" s="9"/>
    </row>
    <row r="4" s="3" customFormat="1" ht="3.75" customHeight="1" spans="5:7">
      <c r="E4" s="8"/>
      <c r="F4"/>
      <c r="G4"/>
    </row>
    <row r="5" s="3" customFormat="1" ht="46.5" customHeight="1" spans="5:10">
      <c r="E5" s="8"/>
      <c r="F5" s="10">
        <f>SUM(MonthlyIncome[CANTIDAD])</f>
        <v>1064.7</v>
      </c>
      <c r="G5" s="10"/>
      <c r="I5" s="8"/>
      <c r="J5" s="16"/>
    </row>
    <row r="6" s="3" customFormat="1" ht="18.75" customHeight="1" spans="6:10">
      <c r="F6" s="9" t="s">
        <v>5</v>
      </c>
      <c r="G6" s="9"/>
      <c r="I6" s="8"/>
      <c r="J6" s="16"/>
    </row>
    <row r="7" s="3" customFormat="1" ht="3.75" customHeight="1" spans="6:10">
      <c r="F7"/>
      <c r="G7"/>
      <c r="I7" s="8"/>
      <c r="J7" s="16"/>
    </row>
    <row r="8" s="3" customFormat="1" ht="46.5" customHeight="1" spans="5:7">
      <c r="E8" s="11"/>
      <c r="F8" s="10">
        <f>SUM(MonthlyExpenses[CANTIDAD])</f>
        <v>914.79</v>
      </c>
      <c r="G8" s="10"/>
    </row>
    <row r="9" s="3" customFormat="1" ht="18.75" customHeight="1" spans="1:7">
      <c r="A9" s="11"/>
      <c r="E9" s="11"/>
      <c r="F9" s="9" t="s">
        <v>6</v>
      </c>
      <c r="G9" s="9"/>
    </row>
    <row r="10" s="3" customFormat="1" ht="3.75" customHeight="1" spans="1:7">
      <c r="A10" s="11"/>
      <c r="E10" s="11"/>
      <c r="F10"/>
      <c r="G10"/>
    </row>
    <row r="11" s="3" customFormat="1" ht="46.5" customHeight="1" spans="1:7">
      <c r="A11" s="11"/>
      <c r="E11" s="11"/>
      <c r="F11" s="10">
        <f>F5-F8</f>
        <v>149.91</v>
      </c>
      <c r="G11" s="10"/>
    </row>
    <row r="12" s="3" customFormat="1" ht="18.75" customHeight="1" spans="1:7">
      <c r="A12" s="11"/>
      <c r="E12" s="11"/>
      <c r="F12" s="9" t="s">
        <v>7</v>
      </c>
      <c r="G12" s="9"/>
    </row>
    <row r="13" s="3" customFormat="1" ht="3.75" customHeight="1" spans="1:7">
      <c r="A13" s="11"/>
      <c r="E13" s="11"/>
      <c r="F13"/>
      <c r="G13"/>
    </row>
    <row r="14" s="3" customFormat="1" ht="46.5" customHeight="1" spans="1:7">
      <c r="A14" s="11"/>
      <c r="E14" s="11"/>
      <c r="F14" s="10">
        <f>SUM(I16+TotalMonthlySavings)</f>
        <v>36662.91</v>
      </c>
      <c r="G14" s="10"/>
    </row>
    <row r="15" s="3" customFormat="1" ht="31.5" customHeight="1" spans="2:10">
      <c r="B15" s="7" t="s">
        <v>61</v>
      </c>
      <c r="C15" s="7"/>
      <c r="D15"/>
      <c r="E15" s="7" t="s">
        <v>62</v>
      </c>
      <c r="F15" s="7"/>
      <c r="G15" s="7"/>
      <c r="H15"/>
      <c r="I15" s="7" t="s">
        <v>63</v>
      </c>
      <c r="J15" s="7"/>
    </row>
    <row r="16" s="3" customFormat="1" ht="39.75" customHeight="1" spans="2:9">
      <c r="B16" s="12" t="s">
        <v>11</v>
      </c>
      <c r="C16" s="12" t="s">
        <v>12</v>
      </c>
      <c r="E16" s="12" t="s">
        <v>11</v>
      </c>
      <c r="F16" s="12" t="s">
        <v>12</v>
      </c>
      <c r="I16" s="17">
        <v>36513</v>
      </c>
    </row>
    <row r="17" ht="28" customHeight="1" spans="1:10">
      <c r="A17" s="3"/>
      <c r="B17" s="13" t="s">
        <v>16</v>
      </c>
      <c r="C17" s="14">
        <v>1056.7</v>
      </c>
      <c r="D17" s="3"/>
      <c r="E17" s="13" t="s">
        <v>17</v>
      </c>
      <c r="F17" s="14">
        <v>500</v>
      </c>
      <c r="G17" s="3"/>
      <c r="H17" s="3"/>
      <c r="I17" s="4"/>
      <c r="J17" s="4"/>
    </row>
    <row r="18" ht="28" customHeight="1" spans="1:10">
      <c r="A18" s="3"/>
      <c r="B18" s="13" t="s">
        <v>60</v>
      </c>
      <c r="C18" s="14">
        <v>8</v>
      </c>
      <c r="D18" s="3"/>
      <c r="E18" s="13" t="s">
        <v>18</v>
      </c>
      <c r="F18" s="14">
        <v>191</v>
      </c>
      <c r="G18" s="3"/>
      <c r="H18" s="3"/>
      <c r="I18" s="4"/>
      <c r="J18" s="4"/>
    </row>
    <row r="19" ht="28" customHeight="1" spans="1:10">
      <c r="A19" s="3"/>
      <c r="B19" s="3"/>
      <c r="C19" s="15"/>
      <c r="D19" s="3"/>
      <c r="E19" s="13" t="s">
        <v>40</v>
      </c>
      <c r="F19" s="14">
        <v>107.9</v>
      </c>
      <c r="G19" s="3"/>
      <c r="H19" s="3"/>
      <c r="I19" s="4"/>
      <c r="J19" s="4"/>
    </row>
    <row r="20" ht="28" customHeight="1" spans="1:10">
      <c r="A20" s="3"/>
      <c r="B20" s="3"/>
      <c r="C20" s="15"/>
      <c r="D20" s="3"/>
      <c r="E20" s="13" t="s">
        <v>31</v>
      </c>
      <c r="F20" s="14">
        <v>50</v>
      </c>
      <c r="G20" s="3"/>
      <c r="H20" s="6"/>
      <c r="I20" s="5"/>
      <c r="J20" s="3"/>
    </row>
    <row r="21" ht="28" customHeight="1" spans="1:10">
      <c r="A21" s="3"/>
      <c r="B21" s="3"/>
      <c r="C21" s="15"/>
      <c r="D21" s="3"/>
      <c r="E21" s="13" t="s">
        <v>28</v>
      </c>
      <c r="F21" s="14">
        <v>28.7</v>
      </c>
      <c r="G21" s="3"/>
      <c r="H21" s="6"/>
      <c r="I21" s="5"/>
      <c r="J21" s="3"/>
    </row>
    <row r="22" ht="28" customHeight="1" spans="1:10">
      <c r="A22" s="3"/>
      <c r="B22" s="3"/>
      <c r="C22" s="15"/>
      <c r="D22" s="3"/>
      <c r="E22" s="3" t="s">
        <v>21</v>
      </c>
      <c r="F22" s="14">
        <v>10</v>
      </c>
      <c r="G22" s="3"/>
      <c r="H22" s="6"/>
      <c r="I22" s="5"/>
      <c r="J22" s="3"/>
    </row>
    <row r="23" ht="28" customHeight="1" spans="1:10">
      <c r="A23" s="3"/>
      <c r="B23" s="3"/>
      <c r="C23" s="15"/>
      <c r="D23" s="3"/>
      <c r="E23" s="13" t="s">
        <v>60</v>
      </c>
      <c r="F23" s="14">
        <v>9.99</v>
      </c>
      <c r="G23" s="3"/>
      <c r="H23" s="6"/>
      <c r="I23" s="5"/>
      <c r="J23" s="3"/>
    </row>
    <row r="24" ht="28" customHeight="1" spans="1:10">
      <c r="A24" s="3"/>
      <c r="B24" s="3"/>
      <c r="C24" s="15"/>
      <c r="D24" s="3"/>
      <c r="E24" s="3" t="s">
        <v>23</v>
      </c>
      <c r="F24" s="14">
        <v>8</v>
      </c>
      <c r="G24" s="3"/>
      <c r="H24" s="6"/>
      <c r="I24" s="5"/>
      <c r="J24" s="3"/>
    </row>
    <row r="25" ht="28" customHeight="1" spans="1:10">
      <c r="A25" s="3"/>
      <c r="B25" s="3"/>
      <c r="C25" s="15"/>
      <c r="D25" s="3"/>
      <c r="E25" s="13" t="s">
        <v>19</v>
      </c>
      <c r="F25" s="14">
        <v>6.2</v>
      </c>
      <c r="G25" s="3"/>
      <c r="H25" s="6"/>
      <c r="I25" s="5"/>
      <c r="J25" s="3"/>
    </row>
    <row r="26" ht="28" customHeight="1" spans="1:10">
      <c r="A26" s="3"/>
      <c r="B26" s="3"/>
      <c r="C26" s="15"/>
      <c r="D26" s="3"/>
      <c r="E26" s="13" t="s">
        <v>22</v>
      </c>
      <c r="F26" s="14">
        <v>3</v>
      </c>
      <c r="G26" s="3"/>
      <c r="H26" s="6"/>
      <c r="I26" s="5"/>
      <c r="J26" s="3"/>
    </row>
    <row r="27" ht="28" customHeight="1" spans="1:10">
      <c r="A27" s="3"/>
      <c r="B27" s="3"/>
      <c r="C27" s="15"/>
      <c r="D27" s="3"/>
      <c r="G27" s="3"/>
      <c r="H27" s="6"/>
      <c r="I27" s="5"/>
      <c r="J27" s="3"/>
    </row>
    <row r="28" ht="28" customHeight="1" spans="1:10">
      <c r="A28" s="3"/>
      <c r="D28" s="3"/>
      <c r="G28" s="3"/>
      <c r="H28" s="6"/>
      <c r="I28" s="5"/>
      <c r="J28" s="3"/>
    </row>
    <row r="29" ht="28" customHeight="1" spans="1:10">
      <c r="A29" s="3"/>
      <c r="D29" s="3"/>
      <c r="G29" s="3"/>
      <c r="H29" s="6"/>
      <c r="I29" s="5"/>
      <c r="J29" s="3"/>
    </row>
  </sheetData>
  <mergeCells count="8">
    <mergeCell ref="F3:G3"/>
    <mergeCell ref="F5:G5"/>
    <mergeCell ref="F6:G6"/>
    <mergeCell ref="F8:G8"/>
    <mergeCell ref="F9:G9"/>
    <mergeCell ref="F11:G11"/>
    <mergeCell ref="F12:G12"/>
    <mergeCell ref="F14:G14"/>
  </mergeCells>
  <conditionalFormatting sqref="F14:G14">
    <cfRule type="expression" dxfId="1" priority="1">
      <formula>'Datos del gráfico'!$B$6</formula>
    </cfRule>
  </conditionalFormatting>
  <printOptions horizontalCentered="1"/>
  <pageMargins left="0.4" right="0.4" top="0.4" bottom="0.4" header="0.25" footer="0.25"/>
  <pageSetup paperSize="9" scale="69" fitToHeight="0" orientation="portrait"/>
  <headerFooter differentFirst="1">
    <oddFooter>&amp;CPage &amp;P of &amp;N</oddFooter>
  </headerFooter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249977111117893"/>
  </sheetPr>
  <dimension ref="B2:B6"/>
  <sheetViews>
    <sheetView workbookViewId="0">
      <selection activeCell="A1" sqref="A1"/>
    </sheetView>
  </sheetViews>
  <sheetFormatPr defaultColWidth="9.16190476190476" defaultRowHeight="13.5" outlineLevelRow="5" outlineLevelCol="1"/>
  <cols>
    <col min="1" max="1" width="1.66666666666667" customWidth="1"/>
  </cols>
  <sheetData>
    <row r="2" spans="2:2">
      <c r="B2" t="s">
        <v>64</v>
      </c>
    </row>
    <row r="4" spans="2:2">
      <c r="B4" s="1">
        <f>MIN(1-B5,1)</f>
        <v>0.14080022541561</v>
      </c>
    </row>
    <row r="5" spans="2:2">
      <c r="B5" s="1">
        <f>MIN(TotalMonthlyExpenses/TotalMonthlyIncome,1)</f>
        <v>0.85919977458439</v>
      </c>
    </row>
    <row r="6" spans="2:2">
      <c r="B6" t="b">
        <f>(TotalMonthlyExpenses/TotalMonthlyIncome)&gt;1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TM10000049</Template>
  <Application>Microsoft Macintosh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DICIEMBRE 26</vt:lpstr>
      <vt:lpstr>NOVIEMBRE 26</vt:lpstr>
      <vt:lpstr>OCTUBRE 26</vt:lpstr>
      <vt:lpstr>SEPTIEMBRE 26</vt:lpstr>
      <vt:lpstr>AGOSTO 26</vt:lpstr>
      <vt:lpstr>JULIO 26</vt:lpstr>
      <vt:lpstr>JUNIO 26</vt:lpstr>
      <vt:lpstr>MAYO 26</vt:lpstr>
      <vt:lpstr>ABRIL 26</vt:lpstr>
      <vt:lpstr>MARZO 26</vt:lpstr>
      <vt:lpstr>FEBRERO 26</vt:lpstr>
      <vt:lpstr>ENERO 26</vt:lpstr>
      <vt:lpstr>Datos del gráfico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Del Saz Carrion</dc:creator>
  <cp:lastModifiedBy>Diego del Saz</cp:lastModifiedBy>
  <dcterms:created xsi:type="dcterms:W3CDTF">2014-09-09T12:15:00Z</dcterms:created>
  <dcterms:modified xsi:type="dcterms:W3CDTF">2026-03-01T20:45:03Z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A200C3B7AE9146B4A3FE245F7FCF4E49_12</vt:lpwstr>
  </property>
  <property fmtid="{D5CDD505-2E9C-101B-9397-08002B2CF9AE}" pid="3" name="KSOProductBuildVer">
    <vt:lpwstr>3082-12.2.0.23196</vt:lpwstr>
  </property>
</Properties>
</file>