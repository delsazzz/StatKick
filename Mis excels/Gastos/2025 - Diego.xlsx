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 tabRatio="550"/>
  </bookViews>
  <sheets>
    <sheet name="DICIEMBRE 25" sheetId="24" r:id="rId1"/>
    <sheet name="NOVIEMBRE 25" sheetId="23" r:id="rId2"/>
    <sheet name="OCTUBRE 25" sheetId="22" r:id="rId3"/>
    <sheet name="SEPTIEMBRE 25" sheetId="21" r:id="rId4"/>
    <sheet name="AGOSTO 25" sheetId="20" r:id="rId5"/>
    <sheet name="JULIO 25" sheetId="19" r:id="rId6"/>
    <sheet name="JUNIO 25" sheetId="18" r:id="rId7"/>
    <sheet name="MAYO 25" sheetId="17" r:id="rId8"/>
    <sheet name="ABRIL 25" sheetId="16" r:id="rId9"/>
    <sheet name="MARZO 25" sheetId="15" r:id="rId10"/>
    <sheet name="FEBRERO 25" sheetId="5" r:id="rId11"/>
    <sheet name="ENERO 25" sheetId="1" r:id="rId12"/>
    <sheet name="Datos del gráfico" sheetId="2" state="hidden" r:id="rId13"/>
  </sheets>
  <definedNames>
    <definedName name="_xlnm.Print_Titles" localSheetId="11">'ENERO 25'!$16:$17</definedName>
    <definedName name="_xlnm.Print_Titles" localSheetId="10">'FEBRERO 25'!$16:$17</definedName>
    <definedName name="TotalMonthlyExpenses" localSheetId="10">'FEBRERO 25'!$F$9</definedName>
    <definedName name="TotalMonthlyExpenses">'ENERO 25'!$F$9</definedName>
    <definedName name="TotalMonthlyIncome" localSheetId="10">'FEBRERO 25'!$F$6</definedName>
    <definedName name="TotalMonthlyIncome">'ENERO 25'!$F$6</definedName>
    <definedName name="TotalMonthlySavings" localSheetId="10">'FEBRERO 25'!$F$12</definedName>
    <definedName name="TotalMonthlySavings">'ENERO 25'!$F$12</definedName>
    <definedName name="_xlnm.Print_Titles" localSheetId="9">'MARZO 25'!$16:$17</definedName>
    <definedName name="TotalMonthlyExpenses" localSheetId="9">'MARZO 25'!$F$9</definedName>
    <definedName name="TotalMonthlyIncome" localSheetId="9">'MARZO 25'!$F$6</definedName>
    <definedName name="TotalMonthlySavings" localSheetId="9">'MARZO 25'!$F$12</definedName>
    <definedName name="_xlnm.Print_Titles" localSheetId="8">'ABRIL 25'!$16:$17</definedName>
    <definedName name="TotalMonthlyExpenses" localSheetId="8">'ABRIL 25'!$F$9</definedName>
    <definedName name="TotalMonthlyIncome" localSheetId="8">'ABRIL 25'!$F$6</definedName>
    <definedName name="TotalMonthlySavings" localSheetId="8">'ABRIL 25'!$F$12</definedName>
    <definedName name="_xlnm.Print_Titles" localSheetId="7">'MAYO 25'!$16:$17</definedName>
    <definedName name="TotalMonthlyExpenses" localSheetId="7">'MAYO 25'!$F$9</definedName>
    <definedName name="TotalMonthlyIncome" localSheetId="7">'MAYO 25'!$F$6</definedName>
    <definedName name="TotalMonthlySavings" localSheetId="7">'MAYO 25'!$F$12</definedName>
    <definedName name="_xlnm.Print_Titles" localSheetId="6">'JUNIO 25'!$16:$17</definedName>
    <definedName name="TotalMonthlyExpenses" localSheetId="6">'JUNIO 25'!$F$9</definedName>
    <definedName name="TotalMonthlyIncome" localSheetId="6">'JUNIO 25'!$F$6</definedName>
    <definedName name="TotalMonthlySavings" localSheetId="6">'JUNIO 25'!$F$12</definedName>
    <definedName name="_xlnm.Print_Titles" localSheetId="5">'JULIO 25'!$16:$17</definedName>
    <definedName name="TotalMonthlyExpenses" localSheetId="5">'JULIO 25'!$F$9</definedName>
    <definedName name="TotalMonthlyIncome" localSheetId="5">'JULIO 25'!$F$6</definedName>
    <definedName name="TotalMonthlySavings" localSheetId="5">'JULIO 25'!$F$12</definedName>
    <definedName name="_xlnm.Print_Titles" localSheetId="4">'AGOSTO 25'!$16:$17</definedName>
    <definedName name="TotalMonthlyExpenses" localSheetId="4">'AGOSTO 25'!$F$9</definedName>
    <definedName name="TotalMonthlyIncome" localSheetId="4">'AGOSTO 25'!$F$6</definedName>
    <definedName name="TotalMonthlySavings" localSheetId="4">'AGOSTO 25'!$F$12</definedName>
    <definedName name="_xlnm.Print_Titles" localSheetId="3">'SEPTIEMBRE 25'!$16:$17</definedName>
    <definedName name="TotalMonthlyExpenses" localSheetId="3">'SEPTIEMBRE 25'!$F$9</definedName>
    <definedName name="TotalMonthlyIncome" localSheetId="3">'SEPTIEMBRE 25'!$F$6</definedName>
    <definedName name="TotalMonthlySavings" localSheetId="3">'SEPTIEMBRE 25'!$F$12</definedName>
    <definedName name="_xlnm.Print_Titles" localSheetId="2">'OCTUBRE 25'!$16:$17</definedName>
    <definedName name="TotalMonthlyExpenses" localSheetId="2">'OCTUBRE 25'!$F$9</definedName>
    <definedName name="TotalMonthlyIncome" localSheetId="2">'OCTUBRE 25'!$F$6</definedName>
    <definedName name="TotalMonthlySavings" localSheetId="2">'OCTUBRE 25'!$F$12</definedName>
    <definedName name="_xlnm.Print_Titles" localSheetId="1">'NOVIEMBRE 25'!$16:$17</definedName>
    <definedName name="TotalMonthlyExpenses" localSheetId="1">'NOVIEMBRE 25'!$F$9</definedName>
    <definedName name="TotalMonthlyIncome" localSheetId="1">'NOVIEMBRE 25'!$F$6</definedName>
    <definedName name="TotalMonthlySavings" localSheetId="1">'NOVIEMBRE 25'!$F$12</definedName>
    <definedName name="_xlnm.Print_Titles" localSheetId="0">'DICIEMBRE 25'!$16:$17</definedName>
    <definedName name="TotalMonthlyExpenses" localSheetId="0">'DICIEMBRE 25'!$F$9</definedName>
    <definedName name="TotalMonthlyIncome" localSheetId="0">'DICIEMBRE 25'!$F$6</definedName>
    <definedName name="TotalMonthlySavings" localSheetId="0">'DICIEMBRE 25'!$F$12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<sst xmlns="http://schemas.openxmlformats.org/spreadsheetml/2006/main" count="342" uniqueCount="77">
  <si>
    <t>Presupuesto personal</t>
  </si>
  <si>
    <t xml:space="preserve"> </t>
  </si>
  <si>
    <t>Porcentaje de ingresos gastados</t>
  </si>
  <si>
    <t>Resumen</t>
  </si>
  <si>
    <t>TOTAL INGRESOS MENSUALES</t>
  </si>
  <si>
    <t>TOTAL GASTOS MENSUALES</t>
  </si>
  <si>
    <t>TOTAL AHORROS MENSUALES</t>
  </si>
  <si>
    <t>SALDO DE CUENTA</t>
  </si>
  <si>
    <t>INGRESOS DICIEMBRE</t>
  </si>
  <si>
    <t>GASTOS DICIEMBRE</t>
  </si>
  <si>
    <t>Ahorros mensuales</t>
  </si>
  <si>
    <t>ARTÍCULO</t>
  </si>
  <si>
    <t>CANTIDAD</t>
  </si>
  <si>
    <t>AHORRO ANUAL</t>
  </si>
  <si>
    <t>GASTO ANUAL</t>
  </si>
  <si>
    <t>INGRESO ANUAL</t>
  </si>
  <si>
    <t>IKEA</t>
  </si>
  <si>
    <t>Casa</t>
  </si>
  <si>
    <t>Ocio</t>
  </si>
  <si>
    <t>Regalos</t>
  </si>
  <si>
    <t>Fútbol</t>
  </si>
  <si>
    <t>Cantina IKEA</t>
  </si>
  <si>
    <t>Spotify</t>
  </si>
  <si>
    <t>Peluquería</t>
  </si>
  <si>
    <t>INGRESOS NOVIEMBRE</t>
  </si>
  <si>
    <t>GASTOS NOVIEMBRE</t>
  </si>
  <si>
    <t>FECHA</t>
  </si>
  <si>
    <t>Lotería</t>
  </si>
  <si>
    <t>Transporte</t>
  </si>
  <si>
    <t>INGRESOS OCTUBRE</t>
  </si>
  <si>
    <t>GASTOS OCTUBRE</t>
  </si>
  <si>
    <t>Devolución libros</t>
  </si>
  <si>
    <t>Wallapop</t>
  </si>
  <si>
    <t>Gasolina</t>
  </si>
  <si>
    <t>INGRESOS SEPTIEMBRE</t>
  </si>
  <si>
    <t>GASTOS SEPTIEMBRE</t>
  </si>
  <si>
    <t>Fantasy</t>
  </si>
  <si>
    <t>Grado Superior</t>
  </si>
  <si>
    <t>INGRESOS AGOSTO</t>
  </si>
  <si>
    <t>GASTOS AGOSTO</t>
  </si>
  <si>
    <t>Deuda papá</t>
  </si>
  <si>
    <t>Viajes</t>
  </si>
  <si>
    <t>Viaje</t>
  </si>
  <si>
    <t>INGRESOS JULIO</t>
  </si>
  <si>
    <t>GASTOS JULIO</t>
  </si>
  <si>
    <t>Vuelos</t>
  </si>
  <si>
    <t>Ropa</t>
  </si>
  <si>
    <t>Videjuegos</t>
  </si>
  <si>
    <t>INGRESOS JUNIO</t>
  </si>
  <si>
    <t>GASTOS JUNIO</t>
  </si>
  <si>
    <t>Rober Regalo Cata</t>
  </si>
  <si>
    <t>Grado superior</t>
  </si>
  <si>
    <t>Entrada Cortés</t>
  </si>
  <si>
    <t>Abono Getafe</t>
  </si>
  <si>
    <t>Regalo Cata</t>
  </si>
  <si>
    <t>Farmacia</t>
  </si>
  <si>
    <t>INGRESOS MAYO</t>
  </si>
  <si>
    <t>GASTOS MAYO</t>
  </si>
  <si>
    <t>Google</t>
  </si>
  <si>
    <t>Videojuegos</t>
  </si>
  <si>
    <t>INGRESOS ABRIL</t>
  </si>
  <si>
    <t>GASTOS ABRIL</t>
  </si>
  <si>
    <t>Declaración</t>
  </si>
  <si>
    <t>INGRESOS MARZO</t>
  </si>
  <si>
    <t>GASTOS MARZO</t>
  </si>
  <si>
    <t>Bizum Papá</t>
  </si>
  <si>
    <t>Parking</t>
  </si>
  <si>
    <t>INGRESOS FEBRERO</t>
  </si>
  <si>
    <t>GASTOS FEBRERO</t>
  </si>
  <si>
    <t>Bizum Rober</t>
  </si>
  <si>
    <t>Multa coche</t>
  </si>
  <si>
    <t>INGRESOS ENERO</t>
  </si>
  <si>
    <t>GASTOS ENERO</t>
  </si>
  <si>
    <t>SALDO CUENTA</t>
  </si>
  <si>
    <t>Televisión + PC</t>
  </si>
  <si>
    <t>Compras</t>
  </si>
  <si>
    <t>DATOS DEL GRÁFICO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</si>
</sst>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\ [$€-40B]"/>
    <numFmt numFmtId="179" formatCode="#,##0&quot;€&quot;"/>
    <numFmt numFmtId="180" formatCode="###,000\ [$€-40B]"/>
    <numFmt numFmtId="181" formatCode="#,##0.00\ [$€-C0A]"/>
    <numFmt numFmtId="182" formatCode="_-* #,##0.00\ &quot;€&quot;_-;\-* #,##0.00\ &quot;€&quot;_-;_-* &quot;-&quot;??\ &quot;€&quot;_-;_-@_-"/>
  </numFmts>
  <fonts count="26">
    <font>
      <sz val="10"/>
      <color theme="3" tint="0.249946592608417"/>
      <name val="Century Gothic"/>
      <charset val="134"/>
      <scheme val="minor"/>
    </font>
    <font>
      <sz val="10"/>
      <name val="Century Gothic"/>
      <charset val="134"/>
      <scheme val="minor"/>
    </font>
    <font>
      <sz val="20"/>
      <color theme="0"/>
      <name val="Tahoma"/>
      <charset val="134"/>
      <scheme val="major"/>
    </font>
    <font>
      <u/>
      <sz val="10"/>
      <color theme="3" tint="0.249946592608417"/>
      <name val="Century Gothic"/>
      <charset val="134"/>
      <scheme val="minor"/>
    </font>
    <font>
      <sz val="13"/>
      <color theme="3" tint="0.249946592608417"/>
      <name val="Tahoma"/>
      <charset val="134"/>
      <scheme val="major"/>
    </font>
    <font>
      <sz val="10"/>
      <color theme="2" tint="-0.0999786370433668"/>
      <name val="Century Gothic"/>
      <charset val="134"/>
      <scheme val="minor"/>
    </font>
    <font>
      <sz val="10"/>
      <color theme="4"/>
      <name val="Tahoma"/>
      <charset val="134"/>
      <scheme val="major"/>
    </font>
    <font>
      <sz val="24"/>
      <color theme="3" tint="0.249946592608417"/>
      <name val="Century Gothic"/>
      <charset val="134"/>
      <scheme val="minor"/>
    </font>
    <font>
      <b/>
      <sz val="16"/>
      <color theme="3" tint="0.249946592608417"/>
      <name val="Century Gothic"/>
      <charset val="134"/>
      <scheme val="minor"/>
    </font>
    <font>
      <b/>
      <sz val="12"/>
      <color theme="4"/>
      <name val="Tahoma"/>
      <charset val="134"/>
      <scheme val="major"/>
    </font>
    <font>
      <sz val="11"/>
      <color theme="1"/>
      <name val="Century Gothic"/>
      <charset val="134"/>
      <scheme val="minor"/>
    </font>
    <font>
      <u/>
      <sz val="11"/>
      <color rgb="FF0000FF"/>
      <name val="Century Gothic"/>
      <charset val="0"/>
      <scheme val="minor"/>
    </font>
    <font>
      <u/>
      <sz val="11"/>
      <color rgb="FF800080"/>
      <name val="Century Gothic"/>
      <charset val="0"/>
      <scheme val="minor"/>
    </font>
    <font>
      <sz val="11"/>
      <color rgb="FFFF0000"/>
      <name val="Century Gothic"/>
      <charset val="0"/>
      <scheme val="minor"/>
    </font>
    <font>
      <i/>
      <sz val="11"/>
      <color rgb="FF7F7F7F"/>
      <name val="Century Gothic"/>
      <charset val="0"/>
      <scheme val="minor"/>
    </font>
    <font>
      <sz val="11"/>
      <color rgb="FF3F3F76"/>
      <name val="Century Gothic"/>
      <charset val="0"/>
      <scheme val="minor"/>
    </font>
    <font>
      <b/>
      <sz val="11"/>
      <color rgb="FF3F3F3F"/>
      <name val="Century Gothic"/>
      <charset val="0"/>
      <scheme val="minor"/>
    </font>
    <font>
      <b/>
      <sz val="11"/>
      <color rgb="FFFA7D00"/>
      <name val="Century Gothic"/>
      <charset val="0"/>
      <scheme val="minor"/>
    </font>
    <font>
      <b/>
      <sz val="11"/>
      <color rgb="FFFFFFFF"/>
      <name val="Century Gothic"/>
      <charset val="0"/>
      <scheme val="minor"/>
    </font>
    <font>
      <sz val="11"/>
      <color rgb="FFFA7D00"/>
      <name val="Century Gothic"/>
      <charset val="0"/>
      <scheme val="minor"/>
    </font>
    <font>
      <b/>
      <sz val="11"/>
      <color theme="1"/>
      <name val="Century Gothic"/>
      <charset val="0"/>
      <scheme val="minor"/>
    </font>
    <font>
      <sz val="11"/>
      <color rgb="FF006100"/>
      <name val="Century Gothic"/>
      <charset val="0"/>
      <scheme val="minor"/>
    </font>
    <font>
      <sz val="11"/>
      <color rgb="FF9C0006"/>
      <name val="Century Gothic"/>
      <charset val="0"/>
      <scheme val="minor"/>
    </font>
    <font>
      <sz val="11"/>
      <color rgb="FF9C6500"/>
      <name val="Century Gothic"/>
      <charset val="0"/>
      <scheme val="minor"/>
    </font>
    <font>
      <sz val="11"/>
      <color theme="0"/>
      <name val="Century Gothic"/>
      <charset val="0"/>
      <scheme val="minor"/>
    </font>
    <font>
      <sz val="11"/>
      <color theme="1"/>
      <name val="Century Gothic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48118533890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0999481185338908"/>
        <bgColor indexed="64"/>
      </patternFill>
    </fill>
    <fill>
      <patternFill patternType="solid">
        <fgColor theme="2" tint="-0.0999481185338908"/>
        <bgColor theme="2" tint="-0.0999481185338908"/>
      </patternFill>
    </fill>
    <fill>
      <patternFill patternType="solid">
        <fgColor theme="2" tint="-0.0999481185338908"/>
        <bgColor theme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theme="2" tint="-0.249946592608417"/>
      </top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2" borderId="0"/>
    <xf numFmtId="43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4" borderId="0" applyNumberFormat="0" applyBorder="0" applyProtection="0">
      <alignment horizontal="left" vertical="center"/>
    </xf>
    <xf numFmtId="0" fontId="14" fillId="0" borderId="0" applyNumberFormat="0" applyFill="0" applyBorder="0" applyAlignment="0" applyProtection="0">
      <alignment vertical="center"/>
    </xf>
    <xf numFmtId="0" fontId="4" fillId="2" borderId="0" applyNumberFormat="0" applyProtection="0">
      <alignment horizontal="left"/>
    </xf>
    <xf numFmtId="0" fontId="6" fillId="2" borderId="1" applyNumberFormat="0" applyAlignment="0" applyProtection="0"/>
    <xf numFmtId="178" fontId="7" fillId="2" borderId="0" applyAlignment="0" applyProtection="0"/>
    <xf numFmtId="0" fontId="2" fillId="4" borderId="0" applyNumberFormat="0" applyBorder="0" applyAlignment="0" applyProtection="0"/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4" fillId="2" borderId="0" applyNumberFormat="0" applyAlignment="0" applyProtection="0"/>
    <xf numFmtId="179" fontId="7" fillId="2" borderId="0" applyAlignment="0" applyProtection="0"/>
  </cellStyleXfs>
  <cellXfs count="26">
    <xf numFmtId="0" fontId="0" fillId="2" borderId="0" xfId="0"/>
    <xf numFmtId="9" fontId="1" fillId="2" borderId="0" xfId="0" applyNumberFormat="1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4" borderId="0" xfId="10" applyBorder="1">
      <alignment horizontal="left" vertical="center"/>
    </xf>
    <xf numFmtId="0" fontId="0" fillId="2" borderId="0" xfId="0" applyAlignment="1">
      <alignment horizontal="left" vertical="center"/>
    </xf>
    <xf numFmtId="0" fontId="0" fillId="2" borderId="0" xfId="0" applyAlignment="1">
      <alignment horizontal="left"/>
    </xf>
    <xf numFmtId="180" fontId="0" fillId="2" borderId="0" xfId="0" applyNumberFormat="1" applyAlignment="1">
      <alignment horizontal="left"/>
    </xf>
    <xf numFmtId="58" fontId="0" fillId="2" borderId="0" xfId="0" applyNumberFormat="1" applyAlignment="1">
      <alignment horizontal="left"/>
    </xf>
    <xf numFmtId="0" fontId="3" fillId="3" borderId="0" xfId="0" applyFont="1" applyFill="1" applyAlignment="1">
      <alignment horizontal="left" vertical="center"/>
    </xf>
    <xf numFmtId="0" fontId="4" fillId="2" borderId="0" xfId="12">
      <alignment horizontal="left"/>
    </xf>
    <xf numFmtId="0" fontId="5" fillId="2" borderId="0" xfId="0" applyFont="1" applyAlignment="1">
      <alignment horizontal="left" vertical="center"/>
    </xf>
    <xf numFmtId="0" fontId="6" fillId="2" borderId="1" xfId="13" applyAlignment="1"/>
    <xf numFmtId="178" fontId="7" fillId="2" borderId="0" xfId="14" applyAlignment="1">
      <alignment horizontal="left" vertical="top"/>
    </xf>
    <xf numFmtId="9" fontId="0" fillId="2" borderId="0" xfId="0" applyNumberFormat="1" applyAlignment="1">
      <alignment vertical="center"/>
    </xf>
    <xf numFmtId="0" fontId="6" fillId="2" borderId="1" xfId="13" applyAlignment="1">
      <alignment horizontal="left" vertical="center"/>
    </xf>
    <xf numFmtId="0" fontId="0" fillId="2" borderId="0" xfId="0" applyAlignment="1">
      <alignment horizontal="left" vertical="center" wrapText="1"/>
    </xf>
    <xf numFmtId="181" fontId="0" fillId="2" borderId="0" xfId="0" applyNumberFormat="1" applyAlignment="1">
      <alignment horizontal="left" vertical="center"/>
    </xf>
    <xf numFmtId="180" fontId="0" fillId="2" borderId="0" xfId="0" applyNumberFormat="1" applyAlignment="1">
      <alignment horizontal="left" vertical="center"/>
    </xf>
    <xf numFmtId="180" fontId="5" fillId="2" borderId="0" xfId="0" applyNumberFormat="1" applyFont="1" applyAlignment="1">
      <alignment horizontal="left" vertical="center"/>
    </xf>
    <xf numFmtId="181" fontId="8" fillId="5" borderId="2" xfId="0" applyNumberFormat="1" applyFont="1" applyFill="1" applyBorder="1" applyAlignment="1">
      <alignment horizontal="left" vertical="center"/>
    </xf>
    <xf numFmtId="58" fontId="0" fillId="2" borderId="0" xfId="0" applyNumberFormat="1" applyAlignment="1">
      <alignment horizontal="left" vertical="center"/>
    </xf>
    <xf numFmtId="0" fontId="0" fillId="2" borderId="0" xfId="0" applyAlignment="1">
      <alignment vertical="center"/>
    </xf>
    <xf numFmtId="0" fontId="9" fillId="2" borderId="1" xfId="13" applyFont="1" applyAlignment="1">
      <alignment horizontal="left" vertical="center"/>
    </xf>
    <xf numFmtId="182" fontId="8" fillId="2" borderId="0" xfId="0" applyNumberFormat="1" applyFont="1" applyAlignment="1">
      <alignment horizontal="left" vertical="center"/>
    </xf>
    <xf numFmtId="0" fontId="9" fillId="6" borderId="1" xfId="13" applyFont="1" applyFill="1" applyBorder="1" applyAlignment="1">
      <alignment horizontal="left" vertical="center"/>
    </xf>
    <xf numFmtId="178" fontId="8" fillId="2" borderId="0" xfId="0" applyNumberFormat="1" applyFont="1" applyAlignment="1">
      <alignment horizontal="left" vertical="center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Encabezado 1 2" xfId="49"/>
    <cellStyle name="Título 3 2" xfId="50"/>
  </cellStyles>
  <dxfs count="18">
    <dxf>
      <font>
        <b val="1"/>
        <sz val="16"/>
      </font>
      <numFmt numFmtId="182" formatCode="_-* #,##0.00\ &quot;€&quot;_-;\-* #,##0.00\ &quot;€&quot;_-;_-* &quot;-&quot;??\ &quot;€&quot;_-;_-@_-"/>
    </dxf>
    <dxf>
      <font>
        <color rgb="FFFF0000"/>
      </font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numFmt numFmtId="58" formatCode="dd/mm/yyyy"/>
      <alignment horizontal="left" vertical="center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top style="double">
          <color theme="3" tint="0.0999481185338908"/>
        </top>
      </border>
    </dxf>
    <dxf>
      <font>
        <b val="0"/>
        <i val="0"/>
        <color theme="4"/>
      </font>
      <fill>
        <patternFill patternType="solid">
          <fgColor theme="1"/>
          <bgColor theme="2" tint="-0.0999481185338908"/>
        </patternFill>
      </fill>
      <border>
        <left/>
        <right/>
        <top/>
        <bottom style="thin">
          <color theme="2" tint="-0.249946592608417"/>
        </bottom>
        <vertical/>
        <horizontal/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 style="thin">
          <color theme="2" tint="-0.249946592608417"/>
        </horizontal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top style="double">
          <color theme="3" tint="0.0999481185338908"/>
        </top>
      </border>
    </dxf>
    <dxf>
      <font>
        <b val="0"/>
        <i val="0"/>
        <color theme="4"/>
      </font>
      <fill>
        <patternFill patternType="solid">
          <fgColor theme="1"/>
          <bgColor theme="2" tint="-0.0999481185338908"/>
        </patternFill>
      </fill>
      <border>
        <left/>
        <right/>
        <top/>
        <bottom style="thin">
          <color theme="2" tint="-0.249946592608417"/>
        </bottom>
        <vertical/>
        <horizontal/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 style="thin">
          <color theme="2" tint="-0.249946592608417"/>
        </horizontal>
      </border>
    </dxf>
  </dxfs>
  <tableStyles count="2" defaultTableStyle="TableStyleMedium2" defaultPivotStyle="PivotStyleLight16">
    <tableStyle name="Personal budget table" pivot="0" count="3" xr9:uid="{C883AFFF-B861-4CB7-BB1F-6E08138E4E65}">
      <tableStyleElement type="wholeTable" dxfId="14"/>
      <tableStyleElement type="headerRow" dxfId="13"/>
      <tableStyleElement type="totalRow" dxfId="12"/>
    </tableStyle>
    <tableStyle name="Tabla de presupuesto personal" pivot="0" count="3" xr9:uid="{2EACDF2B-C988-4500-B096-14A29ADC8D3D}">
      <tableStyleElement type="wholeTable" dxfId="17"/>
      <tableStyleElement type="headerRow" dxfId="16"/>
      <tableStyleElement type="totalRow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3644038228564"/>
                  <c:y val="0.13420667560165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'DICIEMBRE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2454.56</c:v>
                </c:pt>
                <c:pt idx="3">
                  <c:v>0</c:v>
                </c:pt>
                <c:pt idx="5" c:formatCode="#,##0\ [$€-40B]">
                  <c:v>1171.46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'DICIEMBRE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'DICIEMBRE 25'!$F$6</c:f>
              <c:numCache>
                <c:formatCode>#,##0\ [$€-40B]</c:formatCode>
                <c:ptCount val="1"/>
                <c:pt idx="0">
                  <c:v>2454.56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'DICIEMBRE 25'!$F$9</c:f>
              <c:numCache>
                <c:formatCode>#,##0\ [$€-40B]</c:formatCode>
                <c:ptCount val="1"/>
                <c:pt idx="0">
                  <c:v>1171.46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0205124201415"/>
                  <c:y val="0.068454999891472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'NOVIEMBRE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1056.83</c:v>
                </c:pt>
                <c:pt idx="3">
                  <c:v>0</c:v>
                </c:pt>
                <c:pt idx="5" c:formatCode="#,##0\ [$€-40B]">
                  <c:v>747.56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'NOVIEMBRE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'NOVIEMBRE 25'!$F$6</c:f>
              <c:numCache>
                <c:formatCode>#,##0\ [$€-40B]</c:formatCode>
                <c:ptCount val="1"/>
                <c:pt idx="0">
                  <c:v>1056.83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'NOVIEMBRE 25'!$F$9</c:f>
              <c:numCache>
                <c:formatCode>#,##0\ [$€-40B]</c:formatCode>
                <c:ptCount val="1"/>
                <c:pt idx="0">
                  <c:v>747.56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0205124201415"/>
                  <c:y val="0.068454999891472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'OCTUBRE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1113.77</c:v>
                </c:pt>
                <c:pt idx="3">
                  <c:v>0</c:v>
                </c:pt>
                <c:pt idx="5" c:formatCode="#,##0\ [$€-40B]">
                  <c:v>699.26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'OCTUBRE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'OCTUBRE 25'!$F$6</c:f>
              <c:numCache>
                <c:formatCode>#,##0\ [$€-40B]</c:formatCode>
                <c:ptCount val="1"/>
                <c:pt idx="0">
                  <c:v>1113.77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'OCTUBRE 25'!$F$9</c:f>
              <c:numCache>
                <c:formatCode>#,##0\ [$€-40B]</c:formatCode>
                <c:ptCount val="1"/>
                <c:pt idx="0">
                  <c:v>699.26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0205124201415"/>
                  <c:y val="0.068454999891472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'SEPTIEMBRE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1078.7</c:v>
                </c:pt>
                <c:pt idx="3">
                  <c:v>0</c:v>
                </c:pt>
                <c:pt idx="5" c:formatCode="#,##0\ [$€-40B]">
                  <c:v>791.6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'SEPTIEMBRE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'SEPTIEMBRE 25'!$F$6</c:f>
              <c:numCache>
                <c:formatCode>#,##0\ [$€-40B]</c:formatCode>
                <c:ptCount val="1"/>
                <c:pt idx="0">
                  <c:v>1078.7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'SEPTIEMBRE 25'!$F$9</c:f>
              <c:numCache>
                <c:formatCode>#,##0\ [$€-40B]</c:formatCode>
                <c:ptCount val="1"/>
                <c:pt idx="0">
                  <c:v>791.6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5034087080775"/>
                  <c:y val="0.203150180229806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'AGOSTO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4948.3</c:v>
                </c:pt>
                <c:pt idx="3">
                  <c:v>0</c:v>
                </c:pt>
                <c:pt idx="5" c:formatCode="#,##0\ [$€-40B]">
                  <c:v>1186.82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'AGOSTO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'AGOSTO 25'!$F$6</c:f>
              <c:numCache>
                <c:formatCode>#,##0\ [$€-40B]</c:formatCode>
                <c:ptCount val="1"/>
                <c:pt idx="0">
                  <c:v>4948.3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'AGOSTO 25'!$F$9</c:f>
              <c:numCache>
                <c:formatCode>#,##0\ [$€-40B]</c:formatCode>
                <c:ptCount val="1"/>
                <c:pt idx="0">
                  <c:v>1186.82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74232273522683"/>
                  <c:y val="0.011863912774432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'JULIO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2037.54</c:v>
                </c:pt>
                <c:pt idx="3">
                  <c:v>0</c:v>
                </c:pt>
                <c:pt idx="5" c:formatCode="#,##0\ [$€-40B]">
                  <c:v>2035.48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'JULIO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'JULIO 25'!$F$6</c:f>
              <c:numCache>
                <c:formatCode>#,##0\ [$€-40B]</c:formatCode>
                <c:ptCount val="1"/>
                <c:pt idx="0">
                  <c:v>2037.54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'JULIO 25'!$F$9</c:f>
              <c:numCache>
                <c:formatCode>#,##0\ [$€-40B]</c:formatCode>
                <c:ptCount val="1"/>
                <c:pt idx="0">
                  <c:v>2035.48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50340870807751"/>
                  <c:y val="-0.058422260483194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'JUNIO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1240.36</c:v>
                </c:pt>
                <c:pt idx="3">
                  <c:v>0</c:v>
                </c:pt>
                <c:pt idx="5" c:formatCode="#,##0\ [$€-40B]">
                  <c:v>1703.66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'JUNIO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'JUNIO 25'!$F$6</c:f>
              <c:numCache>
                <c:formatCode>#,##0\ [$€-40B]</c:formatCode>
                <c:ptCount val="1"/>
                <c:pt idx="0">
                  <c:v>1240.36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'JUNIO 25'!$F$9</c:f>
              <c:numCache>
                <c:formatCode>#,##0\ [$€-40B]</c:formatCode>
                <c:ptCount val="1"/>
                <c:pt idx="0">
                  <c:v>1703.66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7082952255715"/>
                  <c:y val="-0.019481947683960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1073.85</c:v>
                </c:pt>
                <c:pt idx="3">
                  <c:v>0</c:v>
                </c:pt>
                <c:pt idx="5" c:formatCode="#,##0\ [$€-40B]">
                  <c:v>1252.8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'MAYO 25'!$F$6</c:f>
              <c:numCache>
                <c:formatCode>#,##0\ [$€-40B]</c:formatCode>
                <c:ptCount val="1"/>
                <c:pt idx="0">
                  <c:v>1073.85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'MAYO 25'!$F$9</c:f>
              <c:numCache>
                <c:formatCode>#,##0\ [$€-40B]</c:formatCode>
                <c:ptCount val="1"/>
                <c:pt idx="0">
                  <c:v>1252.8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61019603839425"/>
                  <c:y val="0.023369244570743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1110.6</c:v>
                </c:pt>
                <c:pt idx="3">
                  <c:v>0</c:v>
                </c:pt>
                <c:pt idx="5" c:formatCode="#,##0\ [$€-40B]">
                  <c:v>905.52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'ABRIL 25'!$F$6</c:f>
              <c:numCache>
                <c:formatCode>#,##0\ [$€-40B]</c:formatCode>
                <c:ptCount val="1"/>
                <c:pt idx="0">
                  <c:v>1110.6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'ABRIL 25'!$F$9</c:f>
              <c:numCache>
                <c:formatCode>#,##0\ [$€-40B]</c:formatCode>
                <c:ptCount val="1"/>
                <c:pt idx="0">
                  <c:v>905.52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60418191721813"/>
                  <c:y val="0.015831738373874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'MARZO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1112.07</c:v>
                </c:pt>
                <c:pt idx="3">
                  <c:v>0</c:v>
                </c:pt>
                <c:pt idx="5" c:formatCode="#,##0\ [$€-40B]">
                  <c:v>1051.97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'MARZO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'MARZO 25'!$F$6</c:f>
              <c:numCache>
                <c:formatCode>#,##0\ [$€-40B]</c:formatCode>
                <c:ptCount val="1"/>
                <c:pt idx="0">
                  <c:v>1112.07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'MARZO 25'!$F$9</c:f>
              <c:numCache>
                <c:formatCode>#,##0\ [$€-40B]</c:formatCode>
                <c:ptCount val="1"/>
                <c:pt idx="0">
                  <c:v>1051.97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63848413783557"/>
                  <c:y val="0.0110219628588023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'FEBRERO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1107.76</c:v>
                </c:pt>
                <c:pt idx="3">
                  <c:v>0</c:v>
                </c:pt>
                <c:pt idx="5" c:formatCode="#,##0\ [$€-40B]">
                  <c:v>1095.85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'FEBRERO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'FEBRERO 25'!$F$6</c:f>
              <c:numCache>
                <c:formatCode>#,##0\ [$€-40B]</c:formatCode>
                <c:ptCount val="1"/>
                <c:pt idx="0">
                  <c:v>1107.76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'FEBRERO 25'!$F$9</c:f>
              <c:numCache>
                <c:formatCode>#,##0\ [$€-40B]</c:formatCode>
                <c:ptCount val="1"/>
                <c:pt idx="0">
                  <c:v>1095.85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96668345021375"/>
                  <c:y val="0.18097719389023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2639594757047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'ENERO 25'!$F$4:$F$9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4123.41</c:v>
                </c:pt>
                <c:pt idx="3">
                  <c:v>0</c:v>
                </c:pt>
                <c:pt idx="5" c:formatCode="#,##0\ [$€-40B]">
                  <c:v>1367.47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'ENERO 25'!$G$4:$G$9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29c86b-8f8f-4bdf-ba38-f9e62c74c9a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'ENERO 25'!$F$6</c:f>
              <c:numCache>
                <c:formatCode>#,##0\ [$€-40B]</c:formatCode>
                <c:ptCount val="1"/>
                <c:pt idx="0">
                  <c:v>4123.41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'ENERO 25'!$F$9</c:f>
              <c:numCache>
                <c:formatCode>#,##0\ [$€-40B]</c:formatCode>
                <c:ptCount val="1"/>
                <c:pt idx="0">
                  <c:v>1367.47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6ead66-1b99-4374-84a5-e869bceb0e8f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3228975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207645</xdr:colOff>
      <xdr:row>15</xdr:row>
      <xdr:rowOff>179070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65525" cy="3973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179070</xdr:rowOff>
    </xdr:to>
    <xdr:graphicFrame>
      <xdr:nvGraphicFramePr>
        <xdr:cNvPr id="4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73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2" name="chtIncomeExpenses" descr="Gráfico de barras de columnas que muestra los ingresos y los gastos." title="Ingresos vs. Gastos"/>
        <xdr:cNvGraphicFramePr/>
      </xdr:nvGraphicFramePr>
      <xdr:xfrm>
        <a:off x="7068820" y="1106170"/>
        <a:ext cx="26568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3" name="Savings9_2761215182124303334" displayName="Savings9_2761215182124303334" ref="H17:H18" totalsRowShown="0">
  <autoFilter xmlns:etc="http://www.wps.cn/officeDocument/2017/etCustomData" ref="H17:H18" etc:filterBottomFollowUsedRange="0"/>
  <tableColumns count="1">
    <tableColumn id="1" name="AHORRO ANUAL" dataDxfId="0"/>
  </tableColumns>
  <tableStyleInfo name="Personal budget table" showFirstColumn="0" showLastColumn="0" showRowStripes="1" showColumnStripes="0"/>
</table>
</file>

<file path=xl/tables/table2.xml><?xml version="1.0" encoding="utf-8"?>
<table xmlns="http://schemas.openxmlformats.org/spreadsheetml/2006/main" id="34" name="MonthlyExpenses8_2651113161922283135" displayName="MonthlyExpenses8_2651113161922283135" ref="E17:F25" totalsRowShown="0">
  <autoFilter xmlns:etc="http://www.wps.cn/officeDocument/2017/etCustomData" ref="E17:F25" etc:filterBottomFollowUsedRange="0"/>
  <sortState ref="E17:F25">
    <sortCondition ref="F17:F25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3.xml><?xml version="1.0" encoding="utf-8"?>
<table xmlns="http://schemas.openxmlformats.org/spreadsheetml/2006/main" id="35" name="MonthlyIncome7_2541014172023293236" displayName="MonthlyIncome7_2541014172023293236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4.xml><?xml version="1.0" encoding="utf-8"?>
<table xmlns="http://schemas.openxmlformats.org/spreadsheetml/2006/main" id="30" name="MonthlyExpenses8_26511131619222831" displayName="MonthlyExpenses8_26511131619222831" ref="E17:F24" totalsRowShown="0">
  <autoFilter xmlns:etc="http://www.wps.cn/officeDocument/2017/etCustomData" ref="E17:F24" etc:filterBottomFollowUsedRange="0"/>
  <sortState ref="E17:F24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5.xml><?xml version="1.0" encoding="utf-8"?>
<table xmlns="http://schemas.openxmlformats.org/spreadsheetml/2006/main" id="31" name="MonthlyIncome7_25410141720232932" displayName="MonthlyIncome7_25410141720232932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6.xml><?xml version="1.0" encoding="utf-8"?>
<table xmlns="http://schemas.openxmlformats.org/spreadsheetml/2006/main" id="32" name="Savings9_27612151821243033" displayName="Savings9_27612151821243033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7.xml><?xml version="1.0" encoding="utf-8"?>
<table xmlns="http://schemas.openxmlformats.org/spreadsheetml/2006/main" id="27" name="MonthlyExpenses8_265111316192228" displayName="MonthlyExpenses8_265111316192228" ref="E17:F25" totalsRowShown="0">
  <autoFilter xmlns:etc="http://www.wps.cn/officeDocument/2017/etCustomData" ref="E17:F25" etc:filterBottomFollowUsedRange="0"/>
  <sortState ref="E17:F25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8.xml><?xml version="1.0" encoding="utf-8"?>
<table xmlns="http://schemas.openxmlformats.org/spreadsheetml/2006/main" id="28" name="MonthlyIncome7_254101417202329" displayName="MonthlyIncome7_254101417202329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9.xml><?xml version="1.0" encoding="utf-8"?>
<table xmlns="http://schemas.openxmlformats.org/spreadsheetml/2006/main" id="29" name="Savings9_276121518212430" displayName="Savings9_276121518212430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0.xml><?xml version="1.0" encoding="utf-8"?>
<table xmlns="http://schemas.openxmlformats.org/spreadsheetml/2006/main" id="21" name="MonthlyExpenses8_2651113161922" displayName="MonthlyExpenses8_2651113161922" ref="E17:F25" totalsRowShown="0">
  <autoFilter xmlns:etc="http://www.wps.cn/officeDocument/2017/etCustomData" ref="E17:F25" etc:filterBottomFollowUsedRange="0"/>
  <sortState ref="E17:F25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1.xml><?xml version="1.0" encoding="utf-8"?>
<table xmlns="http://schemas.openxmlformats.org/spreadsheetml/2006/main" id="22" name="MonthlyIncome7_2541014172023" displayName="MonthlyIncome7_2541014172023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2.xml><?xml version="1.0" encoding="utf-8"?>
<table xmlns="http://schemas.openxmlformats.org/spreadsheetml/2006/main" id="23" name="Savings9_2761215182124" displayName="Savings9_2761215182124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3.xml><?xml version="1.0" encoding="utf-8"?>
<table xmlns="http://schemas.openxmlformats.org/spreadsheetml/2006/main" id="18" name="MonthlyExpenses8_26511131619" displayName="MonthlyExpenses8_26511131619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4.xml><?xml version="1.0" encoding="utf-8"?>
<table xmlns="http://schemas.openxmlformats.org/spreadsheetml/2006/main" id="19" name="MonthlyIncome7_25410141720" displayName="MonthlyIncome7_25410141720" ref="B17:C21" totalsRowShown="0">
  <autoFilter xmlns:etc="http://www.wps.cn/officeDocument/2017/etCustomData" ref="B17:C21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5.xml><?xml version="1.0" encoding="utf-8"?>
<table xmlns="http://schemas.openxmlformats.org/spreadsheetml/2006/main" id="20" name="Savings9_27612151821" displayName="Savings9_27612151821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6.xml><?xml version="1.0" encoding="utf-8"?>
<table xmlns="http://schemas.openxmlformats.org/spreadsheetml/2006/main" id="15" name="MonthlyExpenses8_265111316" displayName="MonthlyExpenses8_265111316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7.xml><?xml version="1.0" encoding="utf-8"?>
<table xmlns="http://schemas.openxmlformats.org/spreadsheetml/2006/main" id="16" name="MonthlyIncome7_254101417" displayName="MonthlyIncome7_254101417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8.xml><?xml version="1.0" encoding="utf-8"?>
<table xmlns="http://schemas.openxmlformats.org/spreadsheetml/2006/main" id="17" name="Savings9_276121518" displayName="Savings9_276121518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9.xml><?xml version="1.0" encoding="utf-8"?>
<table xmlns="http://schemas.openxmlformats.org/spreadsheetml/2006/main" id="12" name="MonthlyExpenses8_2651113" displayName="MonthlyExpenses8_2651113" ref="E17:F28" totalsRowShown="0">
  <autoFilter xmlns:etc="http://www.wps.cn/officeDocument/2017/etCustomData" ref="E17:F28" etc:filterBottomFollowUsedRange="0"/>
  <sortState ref="E17:F28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0.xml><?xml version="1.0" encoding="utf-8"?>
<table xmlns="http://schemas.openxmlformats.org/spreadsheetml/2006/main" id="13" name="MonthlyIncome7_2541014" displayName="MonthlyIncome7_2541014" ref="B17:C21" totalsRowShown="0">
  <autoFilter xmlns:etc="http://www.wps.cn/officeDocument/2017/etCustomData" ref="B17:C21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1.xml><?xml version="1.0" encoding="utf-8"?>
<table xmlns="http://schemas.openxmlformats.org/spreadsheetml/2006/main" id="14" name="Savings9_2761215" displayName="Savings9_2761215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2.xml><?xml version="1.0" encoding="utf-8"?>
<table xmlns="http://schemas.openxmlformats.org/spreadsheetml/2006/main" id="9" name="MonthlyIncome7_25410" displayName="MonthlyIncome7_25410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3.xml><?xml version="1.0" encoding="utf-8"?>
<table xmlns="http://schemas.openxmlformats.org/spreadsheetml/2006/main" id="10" name="MonthlyExpenses8_26511" displayName="MonthlyExpenses8_26511" ref="E17:F29" totalsRowShown="0">
  <autoFilter xmlns:etc="http://www.wps.cn/officeDocument/2017/etCustomData" ref="E17:F29" etc:filterBottomFollowUsedRange="0"/>
  <sortState ref="E17:F29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4.xml><?xml version="1.0" encoding="utf-8"?>
<table xmlns="http://schemas.openxmlformats.org/spreadsheetml/2006/main" id="11" name="Savings9_27612" displayName="Savings9_27612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5.xml><?xml version="1.0" encoding="utf-8"?>
<table xmlns="http://schemas.openxmlformats.org/spreadsheetml/2006/main" id="3" name="MonthlyIncome7_254" displayName="MonthlyIncome7_254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6.xml><?xml version="1.0" encoding="utf-8"?>
<table xmlns="http://schemas.openxmlformats.org/spreadsheetml/2006/main" id="4" name="MonthlyExpenses8_265" displayName="MonthlyExpenses8_265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7.xml><?xml version="1.0" encoding="utf-8"?>
<table xmlns="http://schemas.openxmlformats.org/spreadsheetml/2006/main" id="5" name="Savings9_276" displayName="Savings9_276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8.xml><?xml version="1.0" encoding="utf-8"?>
<table xmlns="http://schemas.openxmlformats.org/spreadsheetml/2006/main" id="24" name="MonthlyIncome7_25" displayName="MonthlyIncome7_25" ref="B17:C20" totalsRowShown="0">
  <autoFilter xmlns:etc="http://www.wps.cn/officeDocument/2017/etCustomData" ref="B17:C20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9.xml><?xml version="1.0" encoding="utf-8"?>
<table xmlns="http://schemas.openxmlformats.org/spreadsheetml/2006/main" id="25" name="MonthlyExpenses8_26" displayName="MonthlyExpenses8_26" ref="E17:F29" totalsRowShown="0">
  <autoFilter xmlns:etc="http://www.wps.cn/officeDocument/2017/etCustomData" ref="E17:F29" etc:filterBottomFollowUsedRange="0"/>
  <sortState ref="E17:F29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30.xml><?xml version="1.0" encoding="utf-8"?>
<table xmlns="http://schemas.openxmlformats.org/spreadsheetml/2006/main" id="26" name="Savings9_27" displayName="Savings9_27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31.xml><?xml version="1.0" encoding="utf-8"?>
<table xmlns="http://schemas.openxmlformats.org/spreadsheetml/2006/main" id="6" name="MonthlyIncome7" displayName="MonthlyIncome7" ref="B17:C20" totalsRowShown="0">
  <autoFilter xmlns:etc="http://www.wps.cn/officeDocument/2017/etCustomData" ref="B17:C20" etc:filterBottomFollowUsedRange="0"/>
  <tableColumns count="2">
    <tableColumn id="1" name="ARTÍCULO" dataDxfId="2"/>
    <tableColumn id="2" name="CANTIDAD" dataDxfId="3"/>
  </tableColumns>
  <tableStyleInfo name="Personal budget table" showFirstColumn="0" showLastColumn="0" showRowStripes="1" showColumnStripes="0"/>
</table>
</file>

<file path=xl/tables/table32.xml><?xml version="1.0" encoding="utf-8"?>
<table xmlns="http://schemas.openxmlformats.org/spreadsheetml/2006/main" id="7" name="MonthlyExpenses8" displayName="MonthlyExpenses8" ref="E17:F29" totalsRowShown="0">
  <autoFilter xmlns:etc="http://www.wps.cn/officeDocument/2017/etCustomData" ref="E17:F29" etc:filterBottomFollowUsedRange="0"/>
  <sortState ref="E17:F29">
    <sortCondition ref="F17" descending="1"/>
  </sortState>
  <tableColumns count="2">
    <tableColumn id="1" name="ARTÍCULO" dataDxfId="4"/>
    <tableColumn id="3" name="CANTIDAD" dataDxfId="5"/>
  </tableColumns>
  <tableStyleInfo name="Personal budget table" showFirstColumn="0" showLastColumn="0" showRowStripes="1" showColumnStripes="0"/>
</table>
</file>

<file path=xl/tables/table33.xml><?xml version="1.0" encoding="utf-8"?>
<table xmlns="http://schemas.openxmlformats.org/spreadsheetml/2006/main" id="8" name="Savings9" displayName="Savings9" ref="H17:I20" totalsRowShown="0">
  <autoFilter xmlns:etc="http://www.wps.cn/officeDocument/2017/etCustomData" ref="H17:I20" etc:filterBottomFollowUsedRange="0"/>
  <tableColumns count="2">
    <tableColumn id="1" name="FECHA" dataDxfId="6"/>
    <tableColumn id="2" name="CANTIDAD" dataDxfId="7"/>
  </tableColumns>
  <tableStyleInfo name="Personal budget table" showFirstColumn="0" showLastColumn="0" showRowStripes="1" showColumnStripes="0"/>
</table>
</file>

<file path=xl/tables/table34.xml><?xml version="1.0" encoding="utf-8"?>
<table xmlns="http://schemas.openxmlformats.org/spreadsheetml/2006/main" id="1" name="MonthlyIncome" displayName="MonthlyIncome" ref="B17:C20" totalsRowShown="0">
  <autoFilter xmlns:etc="http://www.wps.cn/officeDocument/2017/etCustomData" ref="B17:C20" etc:filterBottomFollowUsedRange="0"/>
  <sortState ref="B17:C20">
    <sortCondition ref="C17" descending="1"/>
  </sortState>
  <tableColumns count="2">
    <tableColumn id="1" name="ARTÍCULO" dataDxfId="8"/>
    <tableColumn id="2" name="CANTIDAD" dataDxfId="9"/>
  </tableColumns>
  <tableStyleInfo name="Personal budget table" showFirstColumn="0" showLastColumn="0" showRowStripes="1" showColumnStripes="0"/>
</table>
</file>

<file path=xl/tables/table35.xml><?xml version="1.0" encoding="utf-8"?>
<table xmlns="http://schemas.openxmlformats.org/spreadsheetml/2006/main" id="2" name="MonthlyExpenses" displayName="MonthlyExpenses" ref="E17:F30" totalsRowShown="0">
  <autoFilter xmlns:etc="http://www.wps.cn/officeDocument/2017/etCustomData" ref="E17:F30" etc:filterBottomFollowUsedRange="0"/>
  <sortState ref="E17:F30">
    <sortCondition ref="F17" descending="1"/>
  </sortState>
  <tableColumns count="2">
    <tableColumn id="1" name="ARTÍCULO" dataDxfId="10"/>
    <tableColumn id="3" name="CANTIDAD" dataDxfId="11"/>
  </tableColumns>
  <tableStyleInfo name="Personal budget table" showFirstColumn="0" showLastColumn="0" showRowStripes="1" showColumnStripes="0"/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9.xml"/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2.xml"/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8.xml"/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1.xml"/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4.xml"/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7.xml"/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0.xml"/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3.xml"/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M29"/>
  <sheetViews>
    <sheetView showGridLines="0" tabSelected="1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19.2761904761905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2" width="9.16190476190476" style="5"/>
    <col min="13" max="13" width="14.2857142857143" style="5"/>
    <col min="14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SUM(MonthlyIncome7_2541014172023293236[CANTIDAD])</f>
        <v>2454.56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SUM(MonthlyExpenses8_2651113161922283135[CANTIDAD])</f>
        <v>1171.46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'DICIEMBRE 25'!TotalMonthlyIncome-'DICIEMBRE 25'!TotalMonthlyExpenses</f>
        <v>1283.1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SUM('NOVIEMBRE 25'!F15+'DICIEMBRE 25'!TotalMonthlySavings)</f>
        <v>36513.48</v>
      </c>
      <c r="G15" s="12"/>
    </row>
    <row r="16" s="4" customFormat="1" ht="31.5" customHeight="1" spans="2:10">
      <c r="B16" s="9" t="s">
        <v>8</v>
      </c>
      <c r="C16" s="9"/>
      <c r="D16"/>
      <c r="E16" s="9" t="s">
        <v>9</v>
      </c>
      <c r="F16" s="9"/>
      <c r="G16" s="9"/>
      <c r="H16"/>
      <c r="I16" s="9" t="s">
        <v>10</v>
      </c>
      <c r="J16" s="9"/>
    </row>
    <row r="17" s="4" customFormat="1" ht="39.75" customHeight="1" spans="2:13">
      <c r="B17" s="14" t="s">
        <v>11</v>
      </c>
      <c r="C17" s="14" t="s">
        <v>12</v>
      </c>
      <c r="E17" s="14" t="s">
        <v>11</v>
      </c>
      <c r="F17" s="14" t="s">
        <v>12</v>
      </c>
      <c r="H17" s="22" t="s">
        <v>13</v>
      </c>
      <c r="J17" s="24" t="s">
        <v>14</v>
      </c>
      <c r="M17" s="24" t="s">
        <v>15</v>
      </c>
    </row>
    <row r="18" ht="28" customHeight="1" spans="1:13">
      <c r="A18" s="4"/>
      <c r="B18" s="15" t="s">
        <v>16</v>
      </c>
      <c r="C18" s="16">
        <v>2454.56</v>
      </c>
      <c r="D18" s="4"/>
      <c r="E18" s="15" t="s">
        <v>17</v>
      </c>
      <c r="F18" s="16">
        <v>500</v>
      </c>
      <c r="G18" s="4"/>
      <c r="H18" s="23">
        <f>SUM('ENERO 25'!F12,'FEBRERO 25'!F12,'MARZO 25'!F12,'ABRIL 25'!F12,'MAYO 25'!F12,'JUNIO 25'!F12,'JULIO 25'!F12,'AGOSTO 25'!F12,'SEPTIEMBRE 25'!F12,'OCTUBRE 25'!F12,'NOVIEMBRE 25'!F12,F12)</f>
        <v>8448.3</v>
      </c>
      <c r="I18" s="4"/>
      <c r="J18" s="25">
        <f>SUM('ENERO 25'!F9,'FEBRERO 25'!F9,'MARZO 25'!F9,'ABRIL 25'!F9,'MAYO 25'!F9,'JUNIO 25'!F9,'JULIO 25'!F9,'AGOSTO 25'!F9,'SEPTIEMBRE 25'!F9,'OCTUBRE 25'!F9,'NOVIEMBRE 25'!F9,F9)</f>
        <v>14009.45</v>
      </c>
      <c r="M18" s="25">
        <f>SUM('ENERO 25'!F6,'FEBRERO 25'!F6,'MARZO 25'!F6,'ABRIL 25'!F6,'MAYO 25'!F6,'JUNIO 25'!F6,'JULIO 25'!F6,'AGOSTO 25'!F6,'SEPTIEMBRE 25'!F6,'OCTUBRE 25'!F6,'NOVIEMBRE 25'!F6,F6)</f>
        <v>22457.75</v>
      </c>
    </row>
    <row r="19" ht="28" customHeight="1" spans="1:10">
      <c r="A19" s="4"/>
      <c r="B19" s="4"/>
      <c r="C19" s="17"/>
      <c r="D19" s="4"/>
      <c r="E19" s="15" t="s">
        <v>18</v>
      </c>
      <c r="F19" s="16">
        <v>230.78</v>
      </c>
      <c r="G19" s="4"/>
      <c r="H19" s="7"/>
      <c r="I19" s="6"/>
      <c r="J19" s="4"/>
    </row>
    <row r="20" ht="28" customHeight="1" spans="1:10">
      <c r="A20" s="4"/>
      <c r="B20" s="4"/>
      <c r="C20" s="17"/>
      <c r="D20" s="4"/>
      <c r="E20" s="15" t="s">
        <v>19</v>
      </c>
      <c r="F20" s="16">
        <v>351.56</v>
      </c>
      <c r="G20" s="4"/>
      <c r="H20" s="7"/>
      <c r="I20" s="6"/>
      <c r="J20" s="4"/>
    </row>
    <row r="21" ht="28" customHeight="1" spans="1:10">
      <c r="A21" s="4"/>
      <c r="D21" s="4"/>
      <c r="E21" s="15" t="s">
        <v>16</v>
      </c>
      <c r="F21" s="16">
        <v>13.12</v>
      </c>
      <c r="G21" s="4"/>
      <c r="H21" s="7"/>
      <c r="I21" s="6"/>
      <c r="J21" s="4"/>
    </row>
    <row r="22" ht="28" customHeight="1" spans="1:10">
      <c r="A22" s="4"/>
      <c r="D22" s="4"/>
      <c r="E22" s="15" t="s">
        <v>20</v>
      </c>
      <c r="F22" s="16">
        <v>55</v>
      </c>
      <c r="G22" s="4"/>
      <c r="H22" s="7"/>
      <c r="I22" s="6"/>
      <c r="J22" s="4"/>
    </row>
    <row r="23" ht="28" customHeight="1" spans="1:10">
      <c r="A23" s="4"/>
      <c r="D23" s="4"/>
      <c r="E23" s="15" t="s">
        <v>21</v>
      </c>
      <c r="F23" s="16">
        <v>10</v>
      </c>
      <c r="G23" s="4"/>
      <c r="H23" s="7"/>
      <c r="I23" s="6"/>
      <c r="J23" s="4"/>
    </row>
    <row r="24" ht="28" customHeight="1" spans="1:10">
      <c r="A24" s="4"/>
      <c r="D24" s="4"/>
      <c r="E24" s="15" t="s">
        <v>22</v>
      </c>
      <c r="F24" s="16">
        <v>3</v>
      </c>
      <c r="G24" s="4"/>
      <c r="H24" s="7"/>
      <c r="I24" s="6"/>
      <c r="J24" s="4"/>
    </row>
    <row r="25" ht="28" customHeight="1" spans="1:10">
      <c r="A25" s="4"/>
      <c r="D25" s="4"/>
      <c r="E25" s="21" t="s">
        <v>23</v>
      </c>
      <c r="F25" s="16">
        <v>8</v>
      </c>
      <c r="G25" s="4"/>
      <c r="H25" s="7"/>
      <c r="I25" s="6"/>
      <c r="J25" s="4"/>
    </row>
    <row r="26" ht="28" customHeight="1" spans="1:10">
      <c r="A26" s="4"/>
      <c r="D26" s="4"/>
      <c r="G26" s="4"/>
      <c r="H26" s="7"/>
      <c r="I26" s="6"/>
      <c r="J26" s="4"/>
    </row>
    <row r="27" ht="28" customHeight="1" spans="1:10">
      <c r="A27" s="4"/>
      <c r="D27" s="4"/>
      <c r="G27" s="4"/>
      <c r="H27" s="7"/>
      <c r="I27" s="6"/>
      <c r="J27" s="4"/>
    </row>
    <row r="28" ht="28" customHeight="1" spans="1:10">
      <c r="A28" s="4"/>
      <c r="D28" s="4"/>
      <c r="G28" s="4"/>
      <c r="J28" s="4"/>
    </row>
    <row r="29" ht="28" customHeight="1" spans="1:10">
      <c r="A29" s="4"/>
      <c r="D29" s="4"/>
      <c r="G29" s="4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F27" sqref="F27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SUM(MonthlyIncome7_25410141720232932[CANTIDAD])</f>
        <v>1056.83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SUM(MonthlyExpenses8_26511131619222831[CANTIDAD])</f>
        <v>747.56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'NOVIEMBRE 25'!TotalMonthlyIncome-'NOVIEMBRE 25'!TotalMonthlyExpenses</f>
        <v>309.27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SUM('OCTUBRE 25'!F15+'NOVIEMBRE 25'!TotalMonthlySavings)</f>
        <v>35230.38</v>
      </c>
      <c r="G15" s="12"/>
    </row>
    <row r="16" s="4" customFormat="1" ht="31.5" customHeight="1" spans="2:10">
      <c r="B16" s="9" t="s">
        <v>24</v>
      </c>
      <c r="C16" s="9"/>
      <c r="D16"/>
      <c r="E16" s="9" t="s">
        <v>25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1056.83</v>
      </c>
      <c r="D18" s="4"/>
      <c r="E18" s="15" t="s">
        <v>17</v>
      </c>
      <c r="F18" s="16">
        <v>504.9</v>
      </c>
      <c r="G18" s="4"/>
      <c r="H18" s="20"/>
      <c r="I18" s="16"/>
      <c r="J18" s="4"/>
    </row>
    <row r="19" ht="28" customHeight="1" spans="1:10">
      <c r="A19" s="4"/>
      <c r="B19" s="4"/>
      <c r="C19" s="17"/>
      <c r="D19" s="4"/>
      <c r="E19" s="15" t="s">
        <v>18</v>
      </c>
      <c r="F19" s="16">
        <v>116.71</v>
      </c>
      <c r="G19" s="4"/>
      <c r="H19" s="20"/>
      <c r="I19" s="16"/>
      <c r="J19" s="4"/>
    </row>
    <row r="20" ht="28" customHeight="1" spans="1:10">
      <c r="A20" s="4"/>
      <c r="B20" s="4"/>
      <c r="C20" s="17"/>
      <c r="D20" s="4"/>
      <c r="E20" s="15" t="s">
        <v>19</v>
      </c>
      <c r="F20" s="16">
        <v>59.95</v>
      </c>
      <c r="G20" s="4"/>
      <c r="H20" s="20"/>
      <c r="I20" s="16"/>
      <c r="J20" s="4"/>
    </row>
    <row r="21" ht="28" customHeight="1" spans="1:10">
      <c r="A21" s="4"/>
      <c r="D21" s="4"/>
      <c r="E21" s="21" t="s">
        <v>27</v>
      </c>
      <c r="F21" s="16">
        <v>40</v>
      </c>
      <c r="G21" s="4"/>
      <c r="H21" s="7"/>
      <c r="I21" s="6"/>
      <c r="J21" s="4"/>
    </row>
    <row r="22" ht="28" customHeight="1" spans="1:10">
      <c r="A22" s="4"/>
      <c r="D22" s="4"/>
      <c r="E22" s="15" t="s">
        <v>21</v>
      </c>
      <c r="F22" s="16">
        <v>20</v>
      </c>
      <c r="G22" s="4"/>
      <c r="H22" s="7"/>
      <c r="I22" s="6"/>
      <c r="J22" s="4"/>
    </row>
    <row r="23" ht="28" customHeight="1" spans="1:10">
      <c r="A23" s="4"/>
      <c r="D23" s="4"/>
      <c r="E23" s="15" t="s">
        <v>28</v>
      </c>
      <c r="F23" s="16">
        <v>3</v>
      </c>
      <c r="G23" s="4"/>
      <c r="H23" s="7"/>
      <c r="I23" s="6"/>
      <c r="J23" s="4"/>
    </row>
    <row r="24" ht="28" customHeight="1" spans="1:10">
      <c r="A24" s="4"/>
      <c r="D24" s="4"/>
      <c r="E24" s="15" t="s">
        <v>22</v>
      </c>
      <c r="F24" s="16">
        <v>3</v>
      </c>
      <c r="G24" s="4"/>
      <c r="H24" s="7"/>
      <c r="I24" s="6"/>
      <c r="J24" s="4"/>
    </row>
    <row r="25" ht="28" customHeight="1" spans="1:10">
      <c r="A25" s="4"/>
      <c r="D25" s="4"/>
      <c r="G25" s="4"/>
      <c r="H25" s="7"/>
      <c r="I25" s="6"/>
      <c r="J25" s="4"/>
    </row>
    <row r="26" ht="28" customHeight="1" spans="1:10">
      <c r="A26" s="4"/>
      <c r="D26" s="4"/>
      <c r="G26" s="4"/>
      <c r="H26" s="7"/>
      <c r="I26" s="6"/>
      <c r="J26" s="4"/>
    </row>
    <row r="27" ht="28" customHeight="1" spans="1:10">
      <c r="A27" s="4"/>
      <c r="D27" s="4"/>
      <c r="G27" s="4"/>
      <c r="H27" s="7"/>
      <c r="I27" s="6"/>
      <c r="J27" s="4"/>
    </row>
    <row r="28" ht="28" customHeight="1" spans="1:10">
      <c r="A28" s="4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SUM(MonthlyIncome7_254101417202329[CANTIDAD])</f>
        <v>1113.77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SUM(MonthlyExpenses8_265111316192228[CANTIDAD])</f>
        <v>699.26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'OCTUBRE 25'!TotalMonthlyIncome-'OCTUBRE 25'!TotalMonthlyExpenses</f>
        <v>414.51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SUM('SEPTIEMBRE 25'!F15+'OCTUBRE 25'!TotalMonthlySavings)</f>
        <v>34921.11</v>
      </c>
      <c r="G15" s="12"/>
    </row>
    <row r="16" s="4" customFormat="1" ht="31.5" customHeight="1" spans="2:10">
      <c r="B16" s="9" t="s">
        <v>29</v>
      </c>
      <c r="C16" s="9"/>
      <c r="D16"/>
      <c r="E16" s="9" t="s">
        <v>30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1053.97</v>
      </c>
      <c r="D18" s="4"/>
      <c r="E18" s="15" t="s">
        <v>17</v>
      </c>
      <c r="F18" s="16">
        <v>500</v>
      </c>
      <c r="G18" s="4"/>
      <c r="H18" s="20"/>
      <c r="I18" s="16"/>
      <c r="J18" s="4"/>
    </row>
    <row r="19" ht="28" customHeight="1" spans="1:10">
      <c r="A19" s="4"/>
      <c r="B19" s="15" t="s">
        <v>31</v>
      </c>
      <c r="C19" s="16">
        <v>39.8</v>
      </c>
      <c r="D19" s="4"/>
      <c r="E19" s="15" t="s">
        <v>18</v>
      </c>
      <c r="F19" s="16">
        <v>97.57</v>
      </c>
      <c r="G19" s="4"/>
      <c r="H19" s="20"/>
      <c r="I19" s="16"/>
      <c r="J19" s="4"/>
    </row>
    <row r="20" ht="28" customHeight="1" spans="1:10">
      <c r="A20" s="4"/>
      <c r="B20" s="15" t="s">
        <v>32</v>
      </c>
      <c r="C20" s="16">
        <v>20</v>
      </c>
      <c r="D20" s="4"/>
      <c r="E20" s="15" t="s">
        <v>19</v>
      </c>
      <c r="F20" s="16">
        <v>28.99</v>
      </c>
      <c r="G20" s="4"/>
      <c r="H20" s="20"/>
      <c r="I20" s="16"/>
      <c r="J20" s="4"/>
    </row>
    <row r="21" ht="28" customHeight="1" spans="1:10">
      <c r="A21" s="4"/>
      <c r="B21" s="4"/>
      <c r="C21" s="17"/>
      <c r="D21" s="4"/>
      <c r="E21" s="15" t="s">
        <v>28</v>
      </c>
      <c r="F21" s="16">
        <v>28.7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20</v>
      </c>
      <c r="F22" s="16">
        <v>20</v>
      </c>
      <c r="G22" s="4"/>
      <c r="H22" s="7"/>
      <c r="I22" s="6"/>
      <c r="J22" s="4"/>
    </row>
    <row r="23" ht="28" customHeight="1" spans="1:10">
      <c r="A23" s="4"/>
      <c r="D23" s="4"/>
      <c r="E23" s="15" t="s">
        <v>21</v>
      </c>
      <c r="F23" s="16">
        <v>20</v>
      </c>
      <c r="G23" s="4"/>
      <c r="H23" s="7"/>
      <c r="I23" s="6"/>
      <c r="J23" s="4"/>
    </row>
    <row r="24" ht="28" customHeight="1" spans="1:10">
      <c r="A24" s="4"/>
      <c r="D24" s="4"/>
      <c r="E24" s="15" t="s">
        <v>22</v>
      </c>
      <c r="F24" s="16">
        <v>3</v>
      </c>
      <c r="G24" s="4"/>
      <c r="H24" s="7"/>
      <c r="I24" s="6"/>
      <c r="J24" s="4"/>
    </row>
    <row r="25" ht="28" customHeight="1" spans="1:10">
      <c r="A25" s="4"/>
      <c r="D25" s="4"/>
      <c r="E25" s="21" t="s">
        <v>33</v>
      </c>
      <c r="F25" s="16">
        <v>1</v>
      </c>
      <c r="G25" s="4"/>
      <c r="H25" s="7"/>
      <c r="I25" s="6"/>
      <c r="J25" s="4"/>
    </row>
    <row r="26" ht="28" customHeight="1" spans="1:10">
      <c r="A26" s="4"/>
      <c r="D26" s="4"/>
      <c r="G26" s="4"/>
      <c r="H26" s="7"/>
      <c r="I26" s="6"/>
      <c r="J26" s="4"/>
    </row>
    <row r="27" ht="28" customHeight="1" spans="1:10">
      <c r="A27" s="4"/>
      <c r="D27" s="4"/>
      <c r="G27" s="4"/>
      <c r="H27" s="7"/>
      <c r="I27" s="6"/>
      <c r="J27" s="4"/>
    </row>
    <row r="28" ht="28" customHeight="1" spans="1:10">
      <c r="A28" s="4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SUM(MonthlyIncome7_2541014172023[CANTIDAD])</f>
        <v>1078.7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SUM(MonthlyExpenses8_2651113161922[CANTIDAD])</f>
        <v>791.6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'SEPTIEMBRE 25'!TotalMonthlyIncome-'SEPTIEMBRE 25'!TotalMonthlyExpenses</f>
        <v>287.1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SUM('AGOSTO 25'!F15+'SEPTIEMBRE 25'!TotalMonthlySavings)</f>
        <v>34506.6</v>
      </c>
      <c r="G15" s="12"/>
    </row>
    <row r="16" s="4" customFormat="1" ht="31.5" customHeight="1" spans="2:10">
      <c r="B16" s="9" t="s">
        <v>34</v>
      </c>
      <c r="C16" s="9"/>
      <c r="D16"/>
      <c r="E16" s="9" t="s">
        <v>35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1065.7</v>
      </c>
      <c r="D18" s="4"/>
      <c r="E18" s="15" t="s">
        <v>17</v>
      </c>
      <c r="F18" s="16">
        <v>500</v>
      </c>
      <c r="G18" s="4"/>
      <c r="H18" s="20"/>
      <c r="I18" s="16"/>
      <c r="J18" s="4"/>
    </row>
    <row r="19" ht="28" customHeight="1" spans="1:10">
      <c r="A19" s="4"/>
      <c r="B19" s="15" t="s">
        <v>36</v>
      </c>
      <c r="C19" s="16">
        <v>13</v>
      </c>
      <c r="D19" s="4"/>
      <c r="E19" s="15" t="s">
        <v>18</v>
      </c>
      <c r="F19" s="16">
        <v>161.23</v>
      </c>
      <c r="G19" s="4"/>
      <c r="H19" s="20"/>
      <c r="I19" s="16"/>
      <c r="J19" s="4"/>
    </row>
    <row r="20" ht="28" customHeight="1" spans="1:10">
      <c r="A20" s="4"/>
      <c r="B20" s="4"/>
      <c r="C20" s="17"/>
      <c r="D20" s="4"/>
      <c r="E20" s="15" t="s">
        <v>37</v>
      </c>
      <c r="F20" s="16">
        <v>62.68</v>
      </c>
      <c r="G20" s="4"/>
      <c r="H20" s="20"/>
      <c r="I20" s="16"/>
      <c r="J20" s="4"/>
    </row>
    <row r="21" ht="28" customHeight="1" spans="1:10">
      <c r="A21" s="4"/>
      <c r="B21" s="4"/>
      <c r="C21" s="17"/>
      <c r="D21" s="4"/>
      <c r="E21" s="21" t="s">
        <v>33</v>
      </c>
      <c r="F21" s="16">
        <v>39.99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21</v>
      </c>
      <c r="F22" s="16">
        <v>10</v>
      </c>
      <c r="G22" s="4"/>
      <c r="H22" s="7"/>
      <c r="I22" s="6"/>
      <c r="J22" s="4"/>
    </row>
    <row r="23" ht="28" customHeight="1" spans="1:10">
      <c r="A23" s="4"/>
      <c r="D23" s="4"/>
      <c r="E23" s="15" t="s">
        <v>23</v>
      </c>
      <c r="F23" s="16">
        <v>8</v>
      </c>
      <c r="G23" s="4"/>
      <c r="H23" s="7"/>
      <c r="I23" s="6"/>
      <c r="J23" s="4"/>
    </row>
    <row r="24" ht="28" customHeight="1" spans="1:10">
      <c r="A24" s="4"/>
      <c r="D24" s="4"/>
      <c r="E24" s="15" t="s">
        <v>28</v>
      </c>
      <c r="F24" s="16">
        <v>6.7</v>
      </c>
      <c r="G24" s="4"/>
      <c r="H24" s="7"/>
      <c r="I24" s="6"/>
      <c r="J24" s="4"/>
    </row>
    <row r="25" ht="28" customHeight="1" spans="1:10">
      <c r="A25" s="4"/>
      <c r="D25" s="4"/>
      <c r="E25" s="15" t="s">
        <v>22</v>
      </c>
      <c r="F25" s="16">
        <v>3</v>
      </c>
      <c r="G25" s="4"/>
      <c r="H25" s="7"/>
      <c r="I25" s="6"/>
      <c r="J25" s="4"/>
    </row>
    <row r="26" ht="28" customHeight="1" spans="1:10">
      <c r="A26" s="4"/>
      <c r="D26" s="4"/>
      <c r="G26" s="4"/>
      <c r="H26" s="7"/>
      <c r="I26" s="6"/>
      <c r="J26" s="4"/>
    </row>
    <row r="27" ht="28" customHeight="1" spans="1:10">
      <c r="A27" s="4"/>
      <c r="D27" s="4"/>
      <c r="G27" s="4"/>
      <c r="H27" s="7"/>
      <c r="I27" s="6"/>
      <c r="J27" s="4"/>
    </row>
    <row r="28" ht="28" customHeight="1" spans="1:10">
      <c r="A28" s="4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F20" sqref="F20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SUM(MonthlyIncome7_25410141720[CANTIDAD])</f>
        <v>4948.3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SUM(MonthlyExpenses8_26511131619[CANTIDAD])</f>
        <v>1186.82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'AGOSTO 25'!TotalMonthlyIncome-'AGOSTO 25'!TotalMonthlyExpenses</f>
        <v>3761.48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SUM('JULIO 25'!F15+'AGOSTO 25'!TotalMonthlySavings)</f>
        <v>34219.5</v>
      </c>
      <c r="G15" s="12"/>
    </row>
    <row r="16" s="4" customFormat="1" ht="31.5" customHeight="1" spans="2:10">
      <c r="B16" s="9" t="s">
        <v>38</v>
      </c>
      <c r="C16" s="9"/>
      <c r="D16"/>
      <c r="E16" s="9" t="s">
        <v>39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1065.85</v>
      </c>
      <c r="D18" s="4"/>
      <c r="E18" s="15" t="s">
        <v>17</v>
      </c>
      <c r="F18" s="16">
        <v>503.37</v>
      </c>
      <c r="G18" s="4"/>
      <c r="H18" s="20"/>
      <c r="I18" s="16"/>
      <c r="J18" s="4"/>
    </row>
    <row r="19" ht="28" customHeight="1" spans="1:10">
      <c r="A19" s="4"/>
      <c r="B19" s="4" t="s">
        <v>36</v>
      </c>
      <c r="C19" s="16">
        <v>39</v>
      </c>
      <c r="D19" s="4"/>
      <c r="E19" s="15" t="s">
        <v>18</v>
      </c>
      <c r="F19" s="16">
        <v>186.61</v>
      </c>
      <c r="G19" s="4"/>
      <c r="H19" s="20"/>
      <c r="I19" s="16"/>
      <c r="J19" s="4"/>
    </row>
    <row r="20" ht="28" customHeight="1" spans="1:10">
      <c r="A20" s="4"/>
      <c r="B20" s="4" t="s">
        <v>40</v>
      </c>
      <c r="C20" s="16">
        <v>3500</v>
      </c>
      <c r="D20" s="4"/>
      <c r="E20" s="15" t="s">
        <v>41</v>
      </c>
      <c r="F20" s="16">
        <v>322.45</v>
      </c>
      <c r="G20" s="4"/>
      <c r="H20" s="20"/>
      <c r="I20" s="16"/>
      <c r="J20" s="4"/>
    </row>
    <row r="21" ht="28" customHeight="1" spans="1:10">
      <c r="A21" s="4"/>
      <c r="B21" s="4" t="s">
        <v>42</v>
      </c>
      <c r="C21" s="16">
        <v>343.45</v>
      </c>
      <c r="D21" s="4"/>
      <c r="E21" s="21" t="s">
        <v>33</v>
      </c>
      <c r="F21" s="16">
        <v>100.32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19</v>
      </c>
      <c r="F22" s="16">
        <v>47.09</v>
      </c>
      <c r="G22" s="4"/>
      <c r="H22" s="7"/>
      <c r="I22" s="6"/>
      <c r="J22" s="4"/>
    </row>
    <row r="23" ht="28" customHeight="1" spans="1:10">
      <c r="A23" s="4"/>
      <c r="B23" s="4"/>
      <c r="C23" s="17"/>
      <c r="D23" s="4"/>
      <c r="E23" s="15" t="s">
        <v>23</v>
      </c>
      <c r="F23" s="16">
        <v>13.98</v>
      </c>
      <c r="G23" s="4"/>
      <c r="H23" s="7"/>
      <c r="I23" s="6"/>
      <c r="J23" s="4"/>
    </row>
    <row r="24" ht="28" customHeight="1" spans="1:10">
      <c r="A24" s="4"/>
      <c r="B24" s="4"/>
      <c r="C24" s="17"/>
      <c r="D24" s="4"/>
      <c r="E24" s="15" t="s">
        <v>21</v>
      </c>
      <c r="F24" s="16">
        <v>10</v>
      </c>
      <c r="G24" s="4"/>
      <c r="H24" s="7"/>
      <c r="I24" s="6"/>
      <c r="J24" s="4"/>
    </row>
    <row r="25" ht="28" customHeight="1" spans="1:10">
      <c r="A25" s="4"/>
      <c r="B25" s="4"/>
      <c r="C25" s="17"/>
      <c r="D25" s="4"/>
      <c r="E25" s="15" t="s">
        <v>22</v>
      </c>
      <c r="F25" s="16">
        <v>3</v>
      </c>
      <c r="G25" s="4"/>
      <c r="H25" s="7"/>
      <c r="I25" s="6"/>
      <c r="J25" s="4"/>
    </row>
    <row r="26" ht="28" customHeight="1" spans="1:10">
      <c r="A26" s="4"/>
      <c r="D26" s="4"/>
      <c r="E26" s="15"/>
      <c r="F26" s="16"/>
      <c r="G26" s="4"/>
      <c r="H26" s="7"/>
      <c r="I26" s="6"/>
      <c r="J26" s="4"/>
    </row>
    <row r="27" ht="28" customHeight="1" spans="1:10">
      <c r="A27" s="4"/>
      <c r="D27" s="4"/>
      <c r="G27" s="4"/>
      <c r="H27" s="7"/>
      <c r="I27" s="6"/>
      <c r="J27" s="4"/>
    </row>
    <row r="28" ht="28" customHeight="1" spans="1:10">
      <c r="A28" s="4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6" sqref="B16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SUM(MonthlyIncome7_254101417[CANTIDAD])</f>
        <v>2037.54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SUM(MonthlyExpenses8_265111316[CANTIDAD])</f>
        <v>2035.48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'JULIO 25'!TotalMonthlyIncome-'JULIO 25'!TotalMonthlyExpenses</f>
        <v>2.05999999999995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SUM('JUNIO 25'!F15+'JULIO 25'!TotalMonthlySavings)</f>
        <v>30458.02</v>
      </c>
      <c r="G15" s="12"/>
    </row>
    <row r="16" s="4" customFormat="1" ht="31.5" customHeight="1" spans="2:10">
      <c r="B16" s="9" t="s">
        <v>43</v>
      </c>
      <c r="C16" s="9"/>
      <c r="D16"/>
      <c r="E16" s="9" t="s">
        <v>44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2025.54</v>
      </c>
      <c r="D18" s="4"/>
      <c r="E18" s="21" t="s">
        <v>41</v>
      </c>
      <c r="F18" s="16">
        <v>1147.35</v>
      </c>
      <c r="G18" s="4"/>
      <c r="H18" s="20"/>
      <c r="I18" s="16"/>
      <c r="J18" s="4"/>
    </row>
    <row r="19" ht="28" customHeight="1" spans="1:10">
      <c r="A19" s="4"/>
      <c r="B19" s="15" t="s">
        <v>32</v>
      </c>
      <c r="C19" s="16">
        <v>2</v>
      </c>
      <c r="D19" s="4"/>
      <c r="E19" s="15" t="s">
        <v>17</v>
      </c>
      <c r="F19" s="16">
        <v>578.44</v>
      </c>
      <c r="G19" s="4"/>
      <c r="H19" s="20"/>
      <c r="I19" s="16"/>
      <c r="J19" s="4"/>
    </row>
    <row r="20" ht="28" customHeight="1" spans="1:10">
      <c r="A20" s="4"/>
      <c r="B20" s="15" t="s">
        <v>45</v>
      </c>
      <c r="C20" s="16">
        <v>10</v>
      </c>
      <c r="D20" s="4"/>
      <c r="E20" s="15" t="s">
        <v>18</v>
      </c>
      <c r="F20" s="16">
        <v>172.73</v>
      </c>
      <c r="G20" s="4"/>
      <c r="H20" s="20"/>
      <c r="I20" s="16"/>
      <c r="J20" s="4"/>
    </row>
    <row r="21" ht="28" customHeight="1" spans="1:10">
      <c r="A21" s="4"/>
      <c r="B21" s="4"/>
      <c r="C21" s="17"/>
      <c r="D21" s="4"/>
      <c r="E21" s="15" t="s">
        <v>46</v>
      </c>
      <c r="F21" s="16">
        <v>40.14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21" t="s">
        <v>19</v>
      </c>
      <c r="F22" s="16">
        <v>35</v>
      </c>
      <c r="G22" s="4"/>
      <c r="H22" s="7"/>
      <c r="I22" s="6"/>
      <c r="J22" s="4"/>
    </row>
    <row r="23" ht="28" customHeight="1" spans="1:10">
      <c r="A23" s="4"/>
      <c r="B23" s="4"/>
      <c r="C23" s="17"/>
      <c r="D23" s="4"/>
      <c r="E23" s="21" t="s">
        <v>47</v>
      </c>
      <c r="F23" s="16">
        <v>30.12</v>
      </c>
      <c r="G23" s="4"/>
      <c r="H23" s="7"/>
      <c r="I23" s="6"/>
      <c r="J23" s="4"/>
    </row>
    <row r="24" ht="28" customHeight="1" spans="1:10">
      <c r="A24" s="4"/>
      <c r="B24" s="4"/>
      <c r="C24" s="17"/>
      <c r="D24" s="4"/>
      <c r="E24" s="15" t="s">
        <v>28</v>
      </c>
      <c r="F24" s="16">
        <v>10.7</v>
      </c>
      <c r="G24" s="4"/>
      <c r="H24" s="7"/>
      <c r="I24" s="6"/>
      <c r="J24" s="4"/>
    </row>
    <row r="25" ht="28" customHeight="1" spans="1:10">
      <c r="A25" s="4"/>
      <c r="B25" s="4"/>
      <c r="C25" s="17"/>
      <c r="D25" s="4"/>
      <c r="E25" s="15" t="s">
        <v>21</v>
      </c>
      <c r="F25" s="16">
        <v>10</v>
      </c>
      <c r="G25" s="4"/>
      <c r="H25" s="7"/>
      <c r="I25" s="6"/>
      <c r="J25" s="4"/>
    </row>
    <row r="26" ht="28" customHeight="1" spans="1:10">
      <c r="A26" s="4"/>
      <c r="B26" s="4"/>
      <c r="C26" s="17"/>
      <c r="D26" s="4"/>
      <c r="E26" s="15" t="s">
        <v>23</v>
      </c>
      <c r="F26" s="16">
        <v>8</v>
      </c>
      <c r="G26" s="4"/>
      <c r="H26" s="7"/>
      <c r="I26" s="6"/>
      <c r="J26" s="4"/>
    </row>
    <row r="27" ht="28" customHeight="1" spans="1:10">
      <c r="A27" s="4"/>
      <c r="B27" s="4"/>
      <c r="C27" s="17"/>
      <c r="D27" s="4"/>
      <c r="E27" s="15" t="s">
        <v>22</v>
      </c>
      <c r="F27" s="16">
        <v>3</v>
      </c>
      <c r="G27" s="4"/>
      <c r="H27" s="7"/>
      <c r="I27" s="6"/>
      <c r="J27" s="4"/>
    </row>
    <row r="28" ht="28" customHeight="1" spans="1:10">
      <c r="A28" s="4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F23" sqref="F23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SUM(MonthlyIncome7_2541014[CANTIDAD])</f>
        <v>1240.36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SUM(MonthlyExpenses8_2651113[CANTIDAD])</f>
        <v>1703.66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'JUNIO 25'!TotalMonthlyIncome-'JUNIO 25'!TotalMonthlyExpenses</f>
        <v>-463.3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SUM('MAYO 25'!F15+'JUNIO 25'!TotalMonthlySavings)</f>
        <v>30455.96</v>
      </c>
      <c r="G15" s="12"/>
    </row>
    <row r="16" s="4" customFormat="1" ht="31.5" customHeight="1" spans="2:10">
      <c r="B16" s="9" t="s">
        <v>48</v>
      </c>
      <c r="C16" s="9"/>
      <c r="D16"/>
      <c r="E16" s="9" t="s">
        <v>49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1074.46</v>
      </c>
      <c r="D18" s="4"/>
      <c r="E18" s="15" t="s">
        <v>17</v>
      </c>
      <c r="F18" s="16">
        <v>559.35</v>
      </c>
      <c r="G18" s="4"/>
      <c r="H18" s="20"/>
      <c r="I18" s="16"/>
      <c r="J18" s="4"/>
    </row>
    <row r="19" ht="28" customHeight="1" spans="1:10">
      <c r="A19" s="4"/>
      <c r="B19" s="15" t="s">
        <v>50</v>
      </c>
      <c r="C19" s="16">
        <v>50</v>
      </c>
      <c r="D19" s="4"/>
      <c r="E19" s="21" t="s">
        <v>51</v>
      </c>
      <c r="F19" s="16">
        <v>401.12</v>
      </c>
      <c r="G19" s="4"/>
      <c r="H19" s="20"/>
      <c r="I19" s="16"/>
      <c r="J19" s="4"/>
    </row>
    <row r="20" ht="28" customHeight="1" spans="1:10">
      <c r="A20" s="4"/>
      <c r="B20" s="15" t="s">
        <v>52</v>
      </c>
      <c r="C20" s="16">
        <v>28.5</v>
      </c>
      <c r="D20" s="4"/>
      <c r="E20" s="15" t="s">
        <v>53</v>
      </c>
      <c r="F20" s="16">
        <v>250</v>
      </c>
      <c r="G20" s="4"/>
      <c r="H20" s="20"/>
      <c r="I20" s="16"/>
      <c r="J20" s="4"/>
    </row>
    <row r="21" ht="28" customHeight="1" spans="1:10">
      <c r="A21" s="4"/>
      <c r="B21" s="4" t="s">
        <v>54</v>
      </c>
      <c r="C21" s="16">
        <v>87.4</v>
      </c>
      <c r="D21" s="4"/>
      <c r="E21" s="15" t="s">
        <v>18</v>
      </c>
      <c r="F21" s="16">
        <v>210.19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46</v>
      </c>
      <c r="F22" s="16">
        <v>131.21</v>
      </c>
      <c r="G22" s="4"/>
      <c r="H22" s="7"/>
      <c r="I22" s="6"/>
      <c r="J22" s="4"/>
    </row>
    <row r="23" ht="28" customHeight="1" spans="1:10">
      <c r="A23" s="4"/>
      <c r="B23" s="4"/>
      <c r="C23" s="17"/>
      <c r="D23" s="4"/>
      <c r="E23" s="21" t="s">
        <v>19</v>
      </c>
      <c r="F23" s="16">
        <v>102.45</v>
      </c>
      <c r="G23" s="4"/>
      <c r="H23" s="7"/>
      <c r="I23" s="6"/>
      <c r="J23" s="4"/>
    </row>
    <row r="24" ht="28" customHeight="1" spans="1:10">
      <c r="A24" s="4"/>
      <c r="B24" s="4"/>
      <c r="C24" s="17"/>
      <c r="D24" s="4"/>
      <c r="E24" s="15" t="s">
        <v>28</v>
      </c>
      <c r="F24" s="16">
        <v>19.1</v>
      </c>
      <c r="G24" s="4"/>
      <c r="H24" s="7"/>
      <c r="I24" s="6"/>
      <c r="J24" s="4"/>
    </row>
    <row r="25" ht="28" customHeight="1" spans="1:10">
      <c r="A25" s="4"/>
      <c r="B25" s="4"/>
      <c r="C25" s="17"/>
      <c r="D25" s="4"/>
      <c r="E25" s="15" t="s">
        <v>23</v>
      </c>
      <c r="F25" s="16">
        <v>16</v>
      </c>
      <c r="G25" s="4"/>
      <c r="H25" s="7"/>
      <c r="I25" s="6"/>
      <c r="J25" s="4"/>
    </row>
    <row r="26" ht="28" customHeight="1" spans="1:10">
      <c r="A26" s="4"/>
      <c r="B26" s="4"/>
      <c r="C26" s="17"/>
      <c r="D26" s="4"/>
      <c r="E26" s="15" t="s">
        <v>21</v>
      </c>
      <c r="F26" s="16">
        <v>10</v>
      </c>
      <c r="G26" s="4"/>
      <c r="H26" s="7"/>
      <c r="I26" s="6"/>
      <c r="J26" s="4"/>
    </row>
    <row r="27" ht="28" customHeight="1" spans="1:10">
      <c r="A27" s="4"/>
      <c r="B27" s="4"/>
      <c r="C27" s="17"/>
      <c r="D27" s="4"/>
      <c r="E27" s="15" t="s">
        <v>22</v>
      </c>
      <c r="F27" s="16">
        <v>3</v>
      </c>
      <c r="G27" s="4"/>
      <c r="H27" s="7"/>
      <c r="I27" s="6"/>
      <c r="J27" s="4"/>
    </row>
    <row r="28" ht="28" customHeight="1" spans="1:10">
      <c r="A28" s="4"/>
      <c r="B28" s="4"/>
      <c r="C28" s="17"/>
      <c r="D28" s="4"/>
      <c r="E28" s="21" t="s">
        <v>55</v>
      </c>
      <c r="F28" s="16">
        <v>1.24</v>
      </c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SUM(MonthlyIncome7_25410[CANTIDAD])</f>
        <v>1073.85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SUM(MonthlyExpenses8_26511[CANTIDAD])</f>
        <v>1252.8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'MAYO 25'!TotalMonthlyIncome-'MAYO 25'!TotalMonthlyExpenses</f>
        <v>-178.95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SUM('ABRIL 25'!F15+'MAYO 25'!TotalMonthlySavings)</f>
        <v>30919.26</v>
      </c>
      <c r="G15" s="12"/>
    </row>
    <row r="16" s="4" customFormat="1" ht="31.5" customHeight="1" spans="2:10">
      <c r="B16" s="9" t="s">
        <v>56</v>
      </c>
      <c r="C16" s="9"/>
      <c r="D16"/>
      <c r="E16" s="9" t="s">
        <v>57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1073.85</v>
      </c>
      <c r="D18" s="4"/>
      <c r="E18" s="15" t="s">
        <v>17</v>
      </c>
      <c r="F18" s="16">
        <v>605.94</v>
      </c>
      <c r="G18" s="4"/>
      <c r="H18" s="20"/>
      <c r="I18" s="16"/>
      <c r="J18" s="4"/>
    </row>
    <row r="19" ht="28" customHeight="1" spans="1:10">
      <c r="A19" s="4"/>
      <c r="B19" s="15"/>
      <c r="C19" s="16"/>
      <c r="D19" s="4"/>
      <c r="E19" s="15" t="s">
        <v>41</v>
      </c>
      <c r="F19" s="16">
        <v>374.91</v>
      </c>
      <c r="G19" s="4"/>
      <c r="H19" s="20"/>
      <c r="I19" s="16"/>
      <c r="J19" s="4"/>
    </row>
    <row r="20" ht="28" customHeight="1" spans="1:10">
      <c r="A20" s="4"/>
      <c r="B20" s="4"/>
      <c r="C20" s="17"/>
      <c r="D20" s="4"/>
      <c r="E20" s="21" t="s">
        <v>36</v>
      </c>
      <c r="F20" s="16">
        <v>90</v>
      </c>
      <c r="G20" s="4"/>
      <c r="H20" s="20"/>
      <c r="I20" s="16"/>
      <c r="J20" s="4"/>
    </row>
    <row r="21" ht="28" customHeight="1" spans="1:10">
      <c r="A21" s="4"/>
      <c r="B21" s="4"/>
      <c r="C21" s="17"/>
      <c r="D21" s="4"/>
      <c r="E21" s="21" t="s">
        <v>19</v>
      </c>
      <c r="F21" s="16">
        <v>53.33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18</v>
      </c>
      <c r="F22" s="16">
        <v>29.9</v>
      </c>
      <c r="G22" s="4"/>
      <c r="H22" s="7"/>
      <c r="I22" s="6"/>
      <c r="J22" s="4"/>
    </row>
    <row r="23" ht="28" customHeight="1" spans="1:10">
      <c r="A23" s="4"/>
      <c r="B23" s="4"/>
      <c r="C23" s="17"/>
      <c r="D23" s="4"/>
      <c r="E23" s="15" t="s">
        <v>21</v>
      </c>
      <c r="F23" s="16">
        <v>20</v>
      </c>
      <c r="G23" s="4"/>
      <c r="H23" s="7"/>
      <c r="I23" s="6"/>
      <c r="J23" s="4"/>
    </row>
    <row r="24" ht="28" customHeight="1" spans="1:10">
      <c r="A24" s="4"/>
      <c r="B24" s="4"/>
      <c r="C24" s="17"/>
      <c r="D24" s="4"/>
      <c r="E24" s="21" t="s">
        <v>58</v>
      </c>
      <c r="F24" s="16">
        <v>19.99</v>
      </c>
      <c r="G24" s="4"/>
      <c r="H24" s="7"/>
      <c r="I24" s="6"/>
      <c r="J24" s="4"/>
    </row>
    <row r="25" ht="28" customHeight="1" spans="1:10">
      <c r="A25" s="4"/>
      <c r="B25" s="4"/>
      <c r="C25" s="17"/>
      <c r="D25" s="4"/>
      <c r="E25" s="15" t="s">
        <v>28</v>
      </c>
      <c r="F25" s="16">
        <v>19.1</v>
      </c>
      <c r="G25" s="4"/>
      <c r="H25" s="7"/>
      <c r="I25" s="6"/>
      <c r="J25" s="4"/>
    </row>
    <row r="26" ht="28" customHeight="1" spans="1:10">
      <c r="A26" s="4"/>
      <c r="B26" s="4"/>
      <c r="C26" s="17"/>
      <c r="D26" s="4"/>
      <c r="E26" s="21" t="s">
        <v>55</v>
      </c>
      <c r="F26" s="16">
        <v>13.64</v>
      </c>
      <c r="G26" s="4"/>
      <c r="H26" s="7"/>
      <c r="I26" s="6"/>
      <c r="J26" s="4"/>
    </row>
    <row r="27" ht="28" customHeight="1" spans="1:10">
      <c r="A27" s="4"/>
      <c r="B27" s="4"/>
      <c r="C27" s="17"/>
      <c r="D27" s="4"/>
      <c r="E27" s="15" t="s">
        <v>23</v>
      </c>
      <c r="F27" s="16">
        <v>13</v>
      </c>
      <c r="G27" s="4"/>
      <c r="H27" s="7"/>
      <c r="I27" s="6"/>
      <c r="J27" s="4"/>
    </row>
    <row r="28" ht="28" customHeight="1" spans="1:10">
      <c r="A28" s="4"/>
      <c r="B28" s="4"/>
      <c r="C28" s="17"/>
      <c r="D28" s="4"/>
      <c r="E28" s="21" t="s">
        <v>59</v>
      </c>
      <c r="F28" s="16">
        <v>9.99</v>
      </c>
      <c r="G28" s="4"/>
      <c r="H28" s="7"/>
      <c r="I28" s="6"/>
      <c r="J28" s="4"/>
    </row>
    <row r="29" ht="28" customHeight="1" spans="1:10">
      <c r="A29" s="4"/>
      <c r="D29" s="4"/>
      <c r="E29" s="15" t="s">
        <v>22</v>
      </c>
      <c r="F29" s="16">
        <v>3</v>
      </c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M21" sqref="M21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SUM(MonthlyIncome7_254[CANTIDAD])</f>
        <v>1110.6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SUM(MonthlyExpenses8_265[CANTIDAD])</f>
        <v>905.52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'ABRIL 25'!TotalMonthlyIncome-'ABRIL 25'!TotalMonthlyExpenses</f>
        <v>205.08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SUM('MARZO 25'!F15+'ABRIL 25'!TotalMonthlySavings)</f>
        <v>31098.21</v>
      </c>
      <c r="G15" s="12"/>
    </row>
    <row r="16" s="4" customFormat="1" ht="31.5" customHeight="1" spans="2:10">
      <c r="B16" s="9" t="s">
        <v>60</v>
      </c>
      <c r="C16" s="9"/>
      <c r="D16"/>
      <c r="E16" s="9" t="s">
        <v>61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1074.79</v>
      </c>
      <c r="D18" s="4"/>
      <c r="E18" s="15" t="s">
        <v>17</v>
      </c>
      <c r="F18" s="16">
        <v>600.12</v>
      </c>
      <c r="G18" s="4"/>
      <c r="H18" s="20"/>
      <c r="I18" s="16"/>
      <c r="J18" s="4"/>
    </row>
    <row r="19" ht="28" customHeight="1" spans="1:10">
      <c r="A19" s="4"/>
      <c r="B19" s="15" t="s">
        <v>62</v>
      </c>
      <c r="C19" s="16">
        <v>35.81</v>
      </c>
      <c r="D19" s="4"/>
      <c r="E19" s="15" t="s">
        <v>18</v>
      </c>
      <c r="F19" s="16">
        <v>201.56</v>
      </c>
      <c r="G19" s="4"/>
      <c r="H19" s="20"/>
      <c r="I19" s="16"/>
      <c r="J19" s="4"/>
    </row>
    <row r="20" ht="28" customHeight="1" spans="1:10">
      <c r="A20" s="4"/>
      <c r="B20" s="4"/>
      <c r="C20" s="17"/>
      <c r="D20" s="4"/>
      <c r="E20" s="15" t="s">
        <v>33</v>
      </c>
      <c r="F20" s="16">
        <v>52.43</v>
      </c>
      <c r="G20" s="4"/>
      <c r="H20" s="20"/>
      <c r="I20" s="16"/>
      <c r="J20" s="4"/>
    </row>
    <row r="21" ht="28" customHeight="1" spans="1:10">
      <c r="A21" s="4"/>
      <c r="B21" s="4"/>
      <c r="C21" s="17"/>
      <c r="D21" s="4"/>
      <c r="E21" s="15" t="s">
        <v>21</v>
      </c>
      <c r="F21" s="16">
        <v>20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28</v>
      </c>
      <c r="F22" s="16">
        <v>19.1</v>
      </c>
      <c r="G22" s="4"/>
      <c r="H22" s="7"/>
      <c r="I22" s="6"/>
      <c r="J22" s="4"/>
    </row>
    <row r="23" ht="28" customHeight="1" spans="1:10">
      <c r="A23" s="4"/>
      <c r="B23" s="4"/>
      <c r="C23" s="17"/>
      <c r="D23" s="4"/>
      <c r="E23" s="21" t="s">
        <v>59</v>
      </c>
      <c r="F23" s="16">
        <v>5.99</v>
      </c>
      <c r="G23" s="4"/>
      <c r="H23" s="7"/>
      <c r="I23" s="6"/>
      <c r="J23" s="4"/>
    </row>
    <row r="24" ht="28" customHeight="1" spans="1:10">
      <c r="A24" s="4"/>
      <c r="B24" s="4"/>
      <c r="C24" s="17"/>
      <c r="D24" s="4"/>
      <c r="E24" s="21" t="s">
        <v>55</v>
      </c>
      <c r="F24" s="16">
        <v>3.32</v>
      </c>
      <c r="G24" s="4"/>
      <c r="H24" s="7"/>
      <c r="I24" s="6"/>
      <c r="J24" s="4"/>
    </row>
    <row r="25" ht="28" customHeight="1" spans="1:10">
      <c r="A25" s="4"/>
      <c r="B25" s="4"/>
      <c r="C25" s="17"/>
      <c r="D25" s="4"/>
      <c r="E25" s="15" t="s">
        <v>22</v>
      </c>
      <c r="F25" s="16">
        <v>3</v>
      </c>
      <c r="G25" s="4"/>
      <c r="H25" s="7"/>
      <c r="I25" s="6"/>
      <c r="J25" s="4"/>
    </row>
    <row r="26" ht="28" customHeight="1" spans="1:10">
      <c r="A26" s="4"/>
      <c r="B26" s="4"/>
      <c r="C26" s="17"/>
      <c r="D26" s="4"/>
      <c r="E26" s="21"/>
      <c r="F26" s="16"/>
      <c r="G26" s="4"/>
      <c r="H26" s="7"/>
      <c r="I26" s="6"/>
      <c r="J26" s="4"/>
    </row>
    <row r="27" ht="28" customHeight="1" spans="1:10">
      <c r="A27" s="4"/>
      <c r="B27" s="4"/>
      <c r="C27" s="17"/>
      <c r="D27" s="4"/>
      <c r="E27" s="15"/>
      <c r="F27" s="16"/>
      <c r="G27" s="4"/>
      <c r="H27" s="7"/>
      <c r="I27" s="6"/>
      <c r="J27" s="4"/>
    </row>
    <row r="28" ht="28" customHeight="1" spans="1:10">
      <c r="A28" s="4"/>
      <c r="B28" s="4"/>
      <c r="C28" s="17"/>
      <c r="D28" s="4"/>
      <c r="G28" s="4"/>
      <c r="H28" s="7"/>
      <c r="I28" s="6"/>
      <c r="J28" s="4"/>
    </row>
    <row r="29" ht="28" customHeight="1" spans="1:10">
      <c r="A29" s="4"/>
      <c r="D29" s="4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F20" sqref="F20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SUM(MonthlyIncome7_25[CANTIDAD])</f>
        <v>1112.07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SUM(MonthlyExpenses8_26[CANTIDAD])</f>
        <v>1051.97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'MARZO 25'!TotalMonthlyIncome-'MARZO 25'!TotalMonthlyExpenses</f>
        <v>60.0999999999999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SUM('FEBRERO 25'!F15+'MARZO 25'!TotalMonthlySavings)</f>
        <v>30893.13</v>
      </c>
      <c r="G15" s="12"/>
    </row>
    <row r="16" s="4" customFormat="1" ht="31.5" customHeight="1" spans="2:10">
      <c r="B16" s="9" t="s">
        <v>63</v>
      </c>
      <c r="C16" s="9"/>
      <c r="D16"/>
      <c r="E16" s="9" t="s">
        <v>64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1075.07</v>
      </c>
      <c r="D18" s="4"/>
      <c r="E18" s="15" t="s">
        <v>17</v>
      </c>
      <c r="F18" s="16">
        <v>680.5</v>
      </c>
      <c r="G18" s="4"/>
      <c r="H18" s="20"/>
      <c r="I18" s="16"/>
      <c r="J18" s="4"/>
    </row>
    <row r="19" ht="28" customHeight="1" spans="1:10">
      <c r="A19" s="4"/>
      <c r="B19" s="15" t="s">
        <v>32</v>
      </c>
      <c r="C19" s="16">
        <v>26</v>
      </c>
      <c r="D19" s="4"/>
      <c r="E19" s="15" t="s">
        <v>18</v>
      </c>
      <c r="F19" s="16">
        <v>147.3</v>
      </c>
      <c r="G19" s="4"/>
      <c r="H19" s="20"/>
      <c r="I19" s="16"/>
      <c r="J19" s="4"/>
    </row>
    <row r="20" ht="28" customHeight="1" spans="1:10">
      <c r="A20" s="4"/>
      <c r="B20" s="15" t="s">
        <v>65</v>
      </c>
      <c r="C20" s="16">
        <v>11</v>
      </c>
      <c r="D20" s="4"/>
      <c r="E20" s="15" t="s">
        <v>41</v>
      </c>
      <c r="F20" s="16">
        <v>115.5</v>
      </c>
      <c r="G20" s="4"/>
      <c r="H20" s="20"/>
      <c r="I20" s="16"/>
      <c r="J20" s="4"/>
    </row>
    <row r="21" ht="28" customHeight="1" spans="1:10">
      <c r="A21" s="4"/>
      <c r="B21" s="4"/>
      <c r="C21" s="17"/>
      <c r="D21" s="4"/>
      <c r="E21" s="15" t="s">
        <v>19</v>
      </c>
      <c r="F21" s="16">
        <v>52.73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28</v>
      </c>
      <c r="F22" s="16">
        <v>19.1</v>
      </c>
      <c r="G22" s="4"/>
      <c r="H22" s="7"/>
      <c r="I22" s="6"/>
      <c r="J22" s="4"/>
    </row>
    <row r="23" ht="28" customHeight="1" spans="1:10">
      <c r="A23" s="4"/>
      <c r="B23" s="4"/>
      <c r="C23" s="17"/>
      <c r="D23" s="4"/>
      <c r="E23" s="21" t="s">
        <v>23</v>
      </c>
      <c r="F23" s="16">
        <v>13</v>
      </c>
      <c r="G23" s="4"/>
      <c r="H23" s="7"/>
      <c r="I23" s="6"/>
      <c r="J23" s="4"/>
    </row>
    <row r="24" ht="28" customHeight="1" spans="1:10">
      <c r="A24" s="4"/>
      <c r="B24" s="4"/>
      <c r="C24" s="17"/>
      <c r="D24" s="4"/>
      <c r="E24" s="15" t="s">
        <v>21</v>
      </c>
      <c r="F24" s="16">
        <v>10</v>
      </c>
      <c r="G24" s="4"/>
      <c r="H24" s="7"/>
      <c r="I24" s="6"/>
      <c r="J24" s="4"/>
    </row>
    <row r="25" ht="28" customHeight="1" spans="1:10">
      <c r="A25" s="4"/>
      <c r="B25" s="4"/>
      <c r="C25" s="17"/>
      <c r="D25" s="4"/>
      <c r="E25" s="21" t="s">
        <v>59</v>
      </c>
      <c r="F25" s="16">
        <v>7.49</v>
      </c>
      <c r="G25" s="4"/>
      <c r="H25" s="7"/>
      <c r="I25" s="6"/>
      <c r="J25" s="4"/>
    </row>
    <row r="26" ht="28" customHeight="1" spans="1:10">
      <c r="A26" s="4"/>
      <c r="B26" s="4"/>
      <c r="C26" s="17"/>
      <c r="D26" s="4"/>
      <c r="E26" s="15" t="s">
        <v>66</v>
      </c>
      <c r="F26" s="16">
        <v>3.35</v>
      </c>
      <c r="G26" s="4"/>
      <c r="H26" s="7"/>
      <c r="I26" s="6"/>
      <c r="J26" s="4"/>
    </row>
    <row r="27" ht="28" customHeight="1" spans="1:10">
      <c r="A27" s="4"/>
      <c r="B27" s="4"/>
      <c r="C27" s="17"/>
      <c r="D27" s="4"/>
      <c r="E27" s="15" t="s">
        <v>22</v>
      </c>
      <c r="F27" s="16">
        <v>3</v>
      </c>
      <c r="G27" s="4"/>
      <c r="H27" s="7"/>
      <c r="I27" s="6"/>
      <c r="J27" s="4"/>
    </row>
    <row r="28" ht="28" customHeight="1" spans="1:10">
      <c r="A28" s="4"/>
      <c r="B28" s="4"/>
      <c r="C28" s="17"/>
      <c r="D28" s="4"/>
      <c r="E28" s="21"/>
      <c r="F28" s="16"/>
      <c r="G28" s="4"/>
      <c r="H28" s="7"/>
      <c r="I28" s="6"/>
      <c r="J28" s="4"/>
    </row>
    <row r="29" ht="28" customHeight="1" spans="1:10">
      <c r="A29" s="4"/>
      <c r="B29" s="4"/>
      <c r="C29" s="17"/>
      <c r="D29" s="4"/>
      <c r="E29" s="15"/>
      <c r="F29" s="16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5.6666666666667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SUM(MonthlyIncome7[CANTIDAD])</f>
        <v>1107.76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SUM(MonthlyExpenses8[CANTIDAD])</f>
        <v>1095.85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'FEBRERO 25'!TotalMonthlyIncome-'FEBRERO 25'!TotalMonthlyExpenses</f>
        <v>11.9100000000001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SUM('ENERO 25'!F15+'FEBRERO 25'!TotalMonthlySavings)</f>
        <v>30833.03</v>
      </c>
      <c r="G15" s="12"/>
    </row>
    <row r="16" s="4" customFormat="1" ht="31.5" customHeight="1" spans="2:10">
      <c r="B16" s="9" t="s">
        <v>67</v>
      </c>
      <c r="C16" s="9"/>
      <c r="D16"/>
      <c r="E16" s="9" t="s">
        <v>68</v>
      </c>
      <c r="F16" s="9"/>
      <c r="G16" s="9"/>
      <c r="H16"/>
      <c r="I16" s="9" t="s">
        <v>10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H17" s="14" t="s">
        <v>26</v>
      </c>
      <c r="I17" s="14" t="s">
        <v>12</v>
      </c>
    </row>
    <row r="18" ht="28" customHeight="1" spans="1:10">
      <c r="A18" s="4"/>
      <c r="B18" s="15" t="s">
        <v>16</v>
      </c>
      <c r="C18" s="16">
        <v>1080.76</v>
      </c>
      <c r="D18" s="4"/>
      <c r="E18" s="15" t="s">
        <v>17</v>
      </c>
      <c r="F18" s="16">
        <v>907.5</v>
      </c>
      <c r="G18" s="4"/>
      <c r="H18" s="20"/>
      <c r="I18" s="16"/>
      <c r="J18" s="4"/>
    </row>
    <row r="19" ht="28" customHeight="1" spans="1:10">
      <c r="A19" s="4"/>
      <c r="B19" s="15" t="s">
        <v>32</v>
      </c>
      <c r="C19" s="16">
        <v>17</v>
      </c>
      <c r="D19" s="4"/>
      <c r="E19" s="15" t="s">
        <v>18</v>
      </c>
      <c r="F19" s="16">
        <v>94.75</v>
      </c>
      <c r="G19" s="4"/>
      <c r="H19" s="20"/>
      <c r="I19" s="16"/>
      <c r="J19" s="4"/>
    </row>
    <row r="20" ht="28" customHeight="1" spans="1:10">
      <c r="A20" s="4"/>
      <c r="B20" s="15" t="s">
        <v>69</v>
      </c>
      <c r="C20" s="16">
        <v>10</v>
      </c>
      <c r="D20" s="4"/>
      <c r="E20" s="15" t="s">
        <v>70</v>
      </c>
      <c r="F20" s="16">
        <v>50</v>
      </c>
      <c r="G20" s="4"/>
      <c r="H20" s="20"/>
      <c r="I20" s="16"/>
      <c r="J20" s="4"/>
    </row>
    <row r="21" ht="28" customHeight="1" spans="1:10">
      <c r="A21" s="4"/>
      <c r="B21" s="4"/>
      <c r="C21" s="17"/>
      <c r="D21" s="4"/>
      <c r="E21" s="15" t="s">
        <v>20</v>
      </c>
      <c r="F21" s="16">
        <v>21.5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28</v>
      </c>
      <c r="F22" s="16">
        <v>19.1</v>
      </c>
      <c r="G22" s="4"/>
      <c r="H22" s="7"/>
      <c r="I22" s="6"/>
      <c r="J22" s="4"/>
    </row>
    <row r="23" ht="28" customHeight="1" spans="1:10">
      <c r="A23" s="4"/>
      <c r="B23" s="4"/>
      <c r="C23" s="17"/>
      <c r="D23" s="4"/>
      <c r="E23" s="15" t="s">
        <v>22</v>
      </c>
      <c r="F23" s="16">
        <v>3</v>
      </c>
      <c r="G23" s="4"/>
      <c r="H23" s="7"/>
      <c r="I23" s="6"/>
      <c r="J23" s="4"/>
    </row>
    <row r="24" ht="28" customHeight="1" spans="1:10">
      <c r="A24" s="4"/>
      <c r="B24" s="4"/>
      <c r="C24" s="17"/>
      <c r="D24" s="4"/>
      <c r="E24" s="15"/>
      <c r="F24" s="16"/>
      <c r="G24" s="4"/>
      <c r="H24" s="7"/>
      <c r="I24" s="6"/>
      <c r="J24" s="4"/>
    </row>
    <row r="25" ht="28" customHeight="1" spans="1:10">
      <c r="A25" s="4"/>
      <c r="B25" s="4"/>
      <c r="C25" s="17"/>
      <c r="D25" s="4"/>
      <c r="E25" s="15"/>
      <c r="F25" s="16"/>
      <c r="G25" s="4"/>
      <c r="H25" s="7"/>
      <c r="I25" s="6"/>
      <c r="J25" s="4"/>
    </row>
    <row r="26" ht="28" customHeight="1" spans="1:10">
      <c r="A26" s="4"/>
      <c r="B26" s="4"/>
      <c r="C26" s="17"/>
      <c r="D26" s="4"/>
      <c r="E26" s="21"/>
      <c r="F26" s="16"/>
      <c r="G26" s="4"/>
      <c r="H26" s="7"/>
      <c r="I26" s="6"/>
      <c r="J26" s="4"/>
    </row>
    <row r="27" ht="28" customHeight="1" spans="1:10">
      <c r="A27" s="4"/>
      <c r="B27" s="4"/>
      <c r="C27" s="17"/>
      <c r="D27" s="4"/>
      <c r="E27" s="21"/>
      <c r="F27" s="16"/>
      <c r="G27" s="4"/>
      <c r="H27" s="7"/>
      <c r="I27" s="6"/>
      <c r="J27" s="4"/>
    </row>
    <row r="28" ht="28" customHeight="1" spans="1:10">
      <c r="A28" s="4"/>
      <c r="B28" s="4"/>
      <c r="C28" s="17"/>
      <c r="D28" s="4"/>
      <c r="E28" s="21"/>
      <c r="F28" s="16"/>
      <c r="G28" s="4"/>
      <c r="H28" s="7"/>
      <c r="I28" s="6"/>
      <c r="J28" s="4"/>
    </row>
    <row r="29" ht="28" customHeight="1" spans="1:10">
      <c r="A29" s="4"/>
      <c r="B29" s="4"/>
      <c r="C29" s="17"/>
      <c r="D29" s="4"/>
      <c r="E29" s="15"/>
      <c r="F29" s="16"/>
      <c r="G29" s="4"/>
      <c r="H29" s="7"/>
      <c r="I29" s="6"/>
      <c r="J29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3" tint="0.249977111117893"/>
    <pageSetUpPr fitToPage="1"/>
  </sheetPr>
  <dimension ref="A1:K30"/>
  <sheetViews>
    <sheetView showGridLines="0" zoomScale="80" zoomScaleNormal="80" workbookViewId="0">
      <selection activeCell="I17" sqref="I17"/>
    </sheetView>
  </sheetViews>
  <sheetFormatPr defaultColWidth="9.16190476190476" defaultRowHeight="27.75" customHeight="1"/>
  <cols>
    <col min="1" max="1" width="4.5047619047619" style="5" customWidth="1"/>
    <col min="2" max="2" width="23.8285714285714" style="5" customWidth="1"/>
    <col min="3" max="3" width="15.6666666666667" style="6" customWidth="1"/>
    <col min="4" max="4" width="6.5047619047619" style="5" customWidth="1"/>
    <col min="5" max="5" width="19.6666666666667" style="5" customWidth="1"/>
    <col min="6" max="6" width="15.6666666666667" style="7" customWidth="1"/>
    <col min="7" max="7" width="15.6666666666667" style="6" customWidth="1"/>
    <col min="8" max="8" width="6.5047619047619" style="5" customWidth="1"/>
    <col min="9" max="9" width="19.8571428571429" style="7" customWidth="1"/>
    <col min="10" max="10" width="15.6666666666667" style="6" customWidth="1"/>
    <col min="11" max="11" width="4.5047619047619" style="5" customWidth="1"/>
    <col min="12" max="16384" width="9.16190476190476" style="5"/>
  </cols>
  <sheetData>
    <row r="1" s="2" customFormat="1" ht="5.25" customHeight="1" spans="1:1">
      <c r="A1" s="8"/>
    </row>
    <row r="2" s="3" customFormat="1" ht="40.5" customHeight="1" spans="2:11">
      <c r="B2" s="3" t="s">
        <v>0</v>
      </c>
      <c r="K2" s="3" t="s">
        <v>1</v>
      </c>
    </row>
    <row r="3" s="4" customFormat="1" ht="33" customHeight="1" spans="2:6">
      <c r="B3" s="9" t="s">
        <v>2</v>
      </c>
      <c r="F3" s="9" t="s">
        <v>3</v>
      </c>
    </row>
    <row r="4" s="4" customFormat="1" ht="18.75" customHeight="1" spans="5:7">
      <c r="E4" s="10"/>
      <c r="F4" s="11" t="s">
        <v>4</v>
      </c>
      <c r="G4" s="11"/>
    </row>
    <row r="5" s="4" customFormat="1" ht="3.75" customHeight="1" spans="5:7">
      <c r="E5" s="10"/>
      <c r="F5"/>
      <c r="G5"/>
    </row>
    <row r="6" s="4" customFormat="1" ht="46.5" customHeight="1" spans="5:10">
      <c r="E6" s="10"/>
      <c r="F6" s="12">
        <f>SUM(MonthlyIncome[CANTIDAD])</f>
        <v>4123.41</v>
      </c>
      <c r="G6" s="12"/>
      <c r="I6" s="10"/>
      <c r="J6" s="18"/>
    </row>
    <row r="7" s="4" customFormat="1" ht="18.75" customHeight="1" spans="6:10">
      <c r="F7" s="11" t="s">
        <v>5</v>
      </c>
      <c r="G7" s="11"/>
      <c r="I7" s="10"/>
      <c r="J7" s="18"/>
    </row>
    <row r="8" s="4" customFormat="1" ht="3.75" customHeight="1" spans="6:10">
      <c r="F8"/>
      <c r="G8"/>
      <c r="I8" s="10"/>
      <c r="J8" s="18"/>
    </row>
    <row r="9" s="4" customFormat="1" ht="46.5" customHeight="1" spans="5:7">
      <c r="E9" s="13"/>
      <c r="F9" s="12">
        <f>SUM(MonthlyExpenses[CANTIDAD])</f>
        <v>1367.47</v>
      </c>
      <c r="G9" s="12"/>
    </row>
    <row r="10" s="4" customFormat="1" ht="18.75" customHeight="1" spans="1:7">
      <c r="A10" s="13"/>
      <c r="E10" s="13"/>
      <c r="F10" s="11" t="s">
        <v>6</v>
      </c>
      <c r="G10" s="11"/>
    </row>
    <row r="11" s="4" customFormat="1" ht="3.75" customHeight="1" spans="1:7">
      <c r="A11" s="13"/>
      <c r="E11" s="13"/>
      <c r="F11"/>
      <c r="G11"/>
    </row>
    <row r="12" s="4" customFormat="1" ht="46.5" customHeight="1" spans="1:7">
      <c r="A12" s="13"/>
      <c r="E12" s="13"/>
      <c r="F12" s="12">
        <f>F6-F9</f>
        <v>2755.94</v>
      </c>
      <c r="G12" s="12"/>
    </row>
    <row r="13" s="4" customFormat="1" ht="18.75" customHeight="1" spans="1:7">
      <c r="A13" s="13"/>
      <c r="E13" s="13"/>
      <c r="F13" s="11" t="s">
        <v>7</v>
      </c>
      <c r="G13" s="11"/>
    </row>
    <row r="14" s="4" customFormat="1" ht="3.75" customHeight="1" spans="1:7">
      <c r="A14" s="13"/>
      <c r="E14" s="13"/>
      <c r="F14"/>
      <c r="G14"/>
    </row>
    <row r="15" s="4" customFormat="1" ht="46.5" customHeight="1" spans="1:7">
      <c r="A15" s="13"/>
      <c r="E15" s="13"/>
      <c r="F15" s="12">
        <f>SUM(I17+TotalMonthlySavings)</f>
        <v>30821.12</v>
      </c>
      <c r="G15" s="12"/>
    </row>
    <row r="16" s="4" customFormat="1" ht="31.5" customHeight="1" spans="2:10">
      <c r="B16" s="9" t="s">
        <v>71</v>
      </c>
      <c r="C16" s="9"/>
      <c r="D16"/>
      <c r="E16" s="9" t="s">
        <v>72</v>
      </c>
      <c r="F16" s="9"/>
      <c r="G16" s="9"/>
      <c r="H16"/>
      <c r="I16" s="9" t="s">
        <v>73</v>
      </c>
      <c r="J16" s="9"/>
    </row>
    <row r="17" s="4" customFormat="1" ht="39.75" customHeight="1" spans="2:9">
      <c r="B17" s="14" t="s">
        <v>11</v>
      </c>
      <c r="C17" s="14" t="s">
        <v>12</v>
      </c>
      <c r="E17" s="14" t="s">
        <v>11</v>
      </c>
      <c r="F17" s="14" t="s">
        <v>12</v>
      </c>
      <c r="I17" s="19">
        <v>28065.18</v>
      </c>
    </row>
    <row r="18" ht="28" customHeight="1" spans="1:10">
      <c r="A18" s="4"/>
      <c r="B18" s="15" t="s">
        <v>74</v>
      </c>
      <c r="C18" s="16">
        <v>2900</v>
      </c>
      <c r="D18" s="4"/>
      <c r="E18" s="15" t="s">
        <v>17</v>
      </c>
      <c r="F18" s="16">
        <v>1120</v>
      </c>
      <c r="G18" s="4"/>
      <c r="H18" s="4"/>
      <c r="I18" s="5"/>
      <c r="J18" s="5"/>
    </row>
    <row r="19" ht="28" customHeight="1" spans="1:10">
      <c r="A19" s="4"/>
      <c r="B19" s="15" t="s">
        <v>16</v>
      </c>
      <c r="C19" s="16">
        <v>1069.41</v>
      </c>
      <c r="D19" s="4"/>
      <c r="E19" s="15" t="s">
        <v>41</v>
      </c>
      <c r="F19" s="16">
        <v>90.45</v>
      </c>
      <c r="G19" s="4"/>
      <c r="H19" s="4"/>
      <c r="I19" s="5"/>
      <c r="J19" s="5"/>
    </row>
    <row r="20" ht="28" customHeight="1" spans="1:10">
      <c r="A20" s="4"/>
      <c r="B20" s="15" t="s">
        <v>32</v>
      </c>
      <c r="C20" s="16">
        <v>154</v>
      </c>
      <c r="D20" s="4"/>
      <c r="E20" s="15" t="s">
        <v>33</v>
      </c>
      <c r="F20" s="16">
        <v>36.49</v>
      </c>
      <c r="G20" s="4"/>
      <c r="H20" s="4"/>
      <c r="I20" s="5"/>
      <c r="J20" s="5"/>
    </row>
    <row r="21" ht="28" customHeight="1" spans="1:10">
      <c r="A21" s="4"/>
      <c r="B21" s="4"/>
      <c r="C21" s="17"/>
      <c r="D21" s="4"/>
      <c r="E21" s="15" t="s">
        <v>20</v>
      </c>
      <c r="F21" s="16">
        <v>22</v>
      </c>
      <c r="G21" s="4"/>
      <c r="H21" s="7"/>
      <c r="I21" s="6"/>
      <c r="J21" s="4"/>
    </row>
    <row r="22" ht="28" customHeight="1" spans="1:10">
      <c r="A22" s="4"/>
      <c r="B22" s="4"/>
      <c r="C22" s="17"/>
      <c r="D22" s="4"/>
      <c r="E22" s="15" t="s">
        <v>28</v>
      </c>
      <c r="F22" s="16">
        <v>19.1</v>
      </c>
      <c r="G22" s="4"/>
      <c r="H22" s="7"/>
      <c r="I22" s="6"/>
      <c r="J22" s="4"/>
    </row>
    <row r="23" ht="28" customHeight="1" spans="1:10">
      <c r="A23" s="4"/>
      <c r="B23" s="4"/>
      <c r="C23" s="17"/>
      <c r="D23" s="4"/>
      <c r="E23" s="15" t="s">
        <v>19</v>
      </c>
      <c r="F23" s="16">
        <v>18.94</v>
      </c>
      <c r="G23" s="4"/>
      <c r="H23" s="7"/>
      <c r="I23" s="6"/>
      <c r="J23" s="4"/>
    </row>
    <row r="24" ht="28" customHeight="1" spans="1:10">
      <c r="A24" s="4"/>
      <c r="B24" s="4"/>
      <c r="C24" s="17"/>
      <c r="D24" s="4"/>
      <c r="E24" s="15" t="s">
        <v>18</v>
      </c>
      <c r="F24" s="16">
        <v>18.5</v>
      </c>
      <c r="G24" s="4"/>
      <c r="H24" s="7"/>
      <c r="I24" s="6"/>
      <c r="J24" s="4"/>
    </row>
    <row r="25" ht="28" customHeight="1" spans="1:10">
      <c r="A25" s="4"/>
      <c r="B25" s="4"/>
      <c r="C25" s="17"/>
      <c r="D25" s="4"/>
      <c r="E25" s="4" t="s">
        <v>23</v>
      </c>
      <c r="F25" s="16">
        <v>13</v>
      </c>
      <c r="G25" s="4"/>
      <c r="H25" s="7"/>
      <c r="I25" s="6"/>
      <c r="J25" s="4"/>
    </row>
    <row r="26" ht="28" customHeight="1" spans="1:10">
      <c r="A26" s="4"/>
      <c r="B26" s="4"/>
      <c r="C26" s="17"/>
      <c r="D26" s="4"/>
      <c r="E26" s="4" t="s">
        <v>21</v>
      </c>
      <c r="F26" s="16">
        <v>10</v>
      </c>
      <c r="G26" s="4"/>
      <c r="H26" s="7"/>
      <c r="I26" s="6"/>
      <c r="J26" s="4"/>
    </row>
    <row r="27" ht="28" customHeight="1" spans="1:10">
      <c r="A27" s="4"/>
      <c r="B27" s="4"/>
      <c r="C27" s="17"/>
      <c r="D27" s="4"/>
      <c r="E27" s="15" t="s">
        <v>59</v>
      </c>
      <c r="F27" s="16">
        <v>9.99</v>
      </c>
      <c r="G27" s="4"/>
      <c r="H27" s="7"/>
      <c r="I27" s="6"/>
      <c r="J27" s="4"/>
    </row>
    <row r="28" ht="28" customHeight="1" spans="1:10">
      <c r="A28" s="4"/>
      <c r="B28" s="4"/>
      <c r="C28" s="17"/>
      <c r="D28" s="4"/>
      <c r="E28" s="15" t="s">
        <v>75</v>
      </c>
      <c r="F28" s="16">
        <v>6</v>
      </c>
      <c r="G28" s="4"/>
      <c r="H28" s="7"/>
      <c r="I28" s="6"/>
      <c r="J28" s="4"/>
    </row>
    <row r="29" ht="28" customHeight="1" spans="1:10">
      <c r="A29" s="4"/>
      <c r="B29" s="4"/>
      <c r="C29" s="17"/>
      <c r="D29" s="4"/>
      <c r="E29" s="15" t="s">
        <v>22</v>
      </c>
      <c r="F29" s="16">
        <v>3</v>
      </c>
      <c r="G29" s="4"/>
      <c r="H29" s="7"/>
      <c r="I29" s="6"/>
      <c r="J29" s="4"/>
    </row>
    <row r="30" ht="28" customHeight="1" spans="1:10">
      <c r="A30" s="4"/>
      <c r="B30" s="4"/>
      <c r="C30" s="17"/>
      <c r="D30" s="4"/>
      <c r="E30" s="15"/>
      <c r="F30" s="16"/>
      <c r="G30" s="4"/>
      <c r="H30" s="7"/>
      <c r="I30" s="6"/>
      <c r="J30" s="4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249977111117893"/>
  </sheetPr>
  <dimension ref="B2:B6"/>
  <sheetViews>
    <sheetView workbookViewId="0">
      <selection activeCell="A1" sqref="A1"/>
    </sheetView>
  </sheetViews>
  <sheetFormatPr defaultColWidth="9.16190476190476" defaultRowHeight="13.5" outlineLevelRow="5" outlineLevelCol="1"/>
  <cols>
    <col min="1" max="1" width="1.66666666666667" customWidth="1"/>
  </cols>
  <sheetData>
    <row r="2" spans="2:2">
      <c r="B2" t="s">
        <v>76</v>
      </c>
    </row>
    <row r="4" spans="2:2">
      <c r="B4" s="1">
        <f>MIN(1-B5,1)</f>
        <v>0.668364290720544</v>
      </c>
    </row>
    <row r="5" spans="2:2">
      <c r="B5" s="1">
        <f>MIN(TotalMonthlyExpenses/TotalMonthlyIncome,1)</f>
        <v>0.331635709279456</v>
      </c>
    </row>
    <row r="6" spans="2:2">
      <c r="B6" t="b">
        <f>(TotalMonthlyExpenses/TotalMonthlyIncome)&gt;1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TM10000049</Template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DICIEMBRE 25</vt:lpstr>
      <vt:lpstr>NOVIEMBRE 25</vt:lpstr>
      <vt:lpstr>OCTUBRE 25</vt:lpstr>
      <vt:lpstr>SEPTIEMBRE 25</vt:lpstr>
      <vt:lpstr>AGOSTO 25</vt:lpstr>
      <vt:lpstr>JULIO 25</vt:lpstr>
      <vt:lpstr>JUNIO 25</vt:lpstr>
      <vt:lpstr>MAYO 25</vt:lpstr>
      <vt:lpstr>ABRIL 25</vt:lpstr>
      <vt:lpstr>MARZO 25</vt:lpstr>
      <vt:lpstr>FEBRERO 25</vt:lpstr>
      <vt:lpstr>ENERO 25</vt:lpstr>
      <vt:lpstr>Datos del gráfico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Del Saz Carrion</dc:creator>
  <cp:lastModifiedBy>Diego del Saz</cp:lastModifiedBy>
  <dcterms:created xsi:type="dcterms:W3CDTF">2014-09-09T12:15:00Z</dcterms:created>
  <dcterms:modified xsi:type="dcterms:W3CDTF">2026-01-04T12:33:12Z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A200C3B7AE9146B4A3FE245F7FCF4E49_12</vt:lpwstr>
  </property>
  <property fmtid="{D5CDD505-2E9C-101B-9397-08002B2CF9AE}" pid="3" name="KSOProductBuildVer">
    <vt:lpwstr>3082-12.2.0.23155</vt:lpwstr>
  </property>
</Properties>
</file>