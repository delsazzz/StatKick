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 tabRatio="550" firstSheet="3" activeTab="10"/>
  </bookViews>
  <sheets>
    <sheet name="DICIEMBRE 26" sheetId="24" r:id="rId1"/>
    <sheet name="NOVIEMBRE 26" sheetId="23" r:id="rId2"/>
    <sheet name="OCTUBRE 26" sheetId="22" r:id="rId3"/>
    <sheet name="SEPTIEMBRE 26" sheetId="20" r:id="rId4"/>
    <sheet name="AGOSTO 26" sheetId="21" r:id="rId5"/>
    <sheet name="JULIO 26" sheetId="19" r:id="rId6"/>
    <sheet name="JUNIO 26" sheetId="18" r:id="rId7"/>
    <sheet name="MAYO 26" sheetId="17" r:id="rId8"/>
    <sheet name="ABRIL 26" sheetId="16" r:id="rId9"/>
    <sheet name="MARZO 26" sheetId="15" r:id="rId10"/>
    <sheet name="FEBRERO 26" sheetId="5" r:id="rId11"/>
    <sheet name="ENERO 26" sheetId="1" r:id="rId12"/>
    <sheet name="Datos del gráfico" sheetId="2" state="hidden" r:id="rId13"/>
  </sheets>
  <definedNames>
    <definedName name="_xlnm.Print_Titles" localSheetId="11">'ENERO 26'!$15:$16</definedName>
    <definedName name="_xlnm.Print_Titles" localSheetId="10">'FEBRERO 26'!$15:$16</definedName>
    <definedName name="TotalMonthlyExpenses" localSheetId="10">'FEBRERO 26'!$F$8</definedName>
    <definedName name="TotalMonthlyExpenses">'ENERO 26'!$F$8</definedName>
    <definedName name="TotalMonthlyIncome" localSheetId="10">'FEBRERO 26'!$F$5</definedName>
    <definedName name="TotalMonthlyIncome">'ENERO 26'!$F$5</definedName>
    <definedName name="TotalMonthlySavings" localSheetId="10">'FEBRERO 26'!$F$11</definedName>
    <definedName name="TotalMonthlySavings">'ENERO 26'!$F$11</definedName>
    <definedName name="_xlnm.Print_Titles" localSheetId="9">'MARZO 26'!$15:$16</definedName>
    <definedName name="TotalMonthlyExpenses" localSheetId="9">'MARZO 26'!$F$8</definedName>
    <definedName name="TotalMonthlyIncome" localSheetId="9">'MARZO 26'!$F$5</definedName>
    <definedName name="TotalMonthlySavings" localSheetId="9">'MARZO 26'!$F$11</definedName>
    <definedName name="_xlnm.Print_Titles" localSheetId="8">'ABRIL 26'!$16:$17</definedName>
    <definedName name="TotalMonthlyExpenses" localSheetId="8">'ABRIL 26'!$F$9</definedName>
    <definedName name="TotalMonthlyIncome" localSheetId="8">'ABRIL 26'!$F$6</definedName>
    <definedName name="TotalMonthlySavings" localSheetId="8">'ABRIL 26'!$F$12</definedName>
    <definedName name="_xlnm.Print_Titles" localSheetId="7">'MAYO 26'!$16:$17</definedName>
    <definedName name="TotalMonthlyExpenses" localSheetId="7">'MAYO 26'!$F$9</definedName>
    <definedName name="TotalMonthlyIncome" localSheetId="7">'MAYO 26'!$F$6</definedName>
    <definedName name="TotalMonthlySavings" localSheetId="7">'MAYO 26'!$F$12</definedName>
    <definedName name="_xlnm.Print_Titles" localSheetId="6">'JUNIO 26'!$16:$17</definedName>
    <definedName name="TotalMonthlyExpenses" localSheetId="6">'JUNIO 26'!$F$9</definedName>
    <definedName name="TotalMonthlyIncome" localSheetId="6">'JUNIO 26'!$F$6</definedName>
    <definedName name="TotalMonthlySavings" localSheetId="6">'JUNIO 26'!$F$12</definedName>
    <definedName name="_xlnm.Print_Titles" localSheetId="5">'JULIO 26'!$16:$17</definedName>
    <definedName name="TotalMonthlyExpenses" localSheetId="5">'JULIO 26'!$F$9</definedName>
    <definedName name="TotalMonthlyIncome" localSheetId="5">'JULIO 26'!$F$6</definedName>
    <definedName name="TotalMonthlySavings" localSheetId="5">'JULIO 26'!$F$12</definedName>
    <definedName name="_xlnm.Print_Titles" localSheetId="3">'SEPTIEMBRE 26'!$16:$17</definedName>
    <definedName name="TotalMonthlyExpenses" localSheetId="3">'SEPTIEMBRE 26'!$F$9</definedName>
    <definedName name="TotalMonthlyIncome" localSheetId="3">'SEPTIEMBRE 26'!$F$6</definedName>
    <definedName name="TotalMonthlySavings" localSheetId="3">'SEPTIEMBRE 26'!$F$12</definedName>
    <definedName name="_xlnm.Print_Titles" localSheetId="4">'AGOSTO 26'!$16:$17</definedName>
    <definedName name="TotalMonthlyExpenses" localSheetId="4">'AGOSTO 26'!$F$9</definedName>
    <definedName name="TotalMonthlyIncome" localSheetId="4">'AGOSTO 26'!$F$6</definedName>
    <definedName name="TotalMonthlySavings" localSheetId="4">'AGOSTO 26'!$F$12</definedName>
    <definedName name="_xlnm.Print_Titles" localSheetId="2">'OCTUBRE 26'!$16:$17</definedName>
    <definedName name="TotalMonthlyExpenses" localSheetId="2">'OCTUBRE 26'!$F$9</definedName>
    <definedName name="TotalMonthlyIncome" localSheetId="2">'OCTUBRE 26'!$F$6</definedName>
    <definedName name="TotalMonthlySavings" localSheetId="2">'OCTUBRE 26'!$F$12</definedName>
    <definedName name="_xlnm.Print_Titles" localSheetId="1">'NOVIEMBRE 26'!$16:$17</definedName>
    <definedName name="TotalMonthlyExpenses" localSheetId="1">'NOVIEMBRE 26'!$F$9</definedName>
    <definedName name="TotalMonthlyIncome" localSheetId="1">'NOVIEMBRE 26'!$F$6</definedName>
    <definedName name="TotalMonthlySavings" localSheetId="1">'NOVIEMBRE 26'!$F$12</definedName>
    <definedName name="_xlnm.Print_Titles" localSheetId="0">'DICIEMBRE 26'!$16:$17</definedName>
    <definedName name="TotalMonthlyExpenses" localSheetId="0">'DICIEMBRE 26'!$F$9</definedName>
    <definedName name="TotalMonthlyIncome" localSheetId="0">'DICIEMBRE 26'!$F$6</definedName>
    <definedName name="TotalMonthlySavings" localSheetId="0">'DICIEMBRE 26'!$F$12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<sst xmlns="http://schemas.openxmlformats.org/spreadsheetml/2006/main" count="353" uniqueCount="76">
  <si>
    <t>Volver al directorio</t>
  </si>
  <si>
    <t>Presupuesto personal</t>
  </si>
  <si>
    <t xml:space="preserve"> </t>
  </si>
  <si>
    <t>Porcentaje de ingresos gastados</t>
  </si>
  <si>
    <t>Resumen</t>
  </si>
  <si>
    <t>TOTAL INGRESOS MENSUALES</t>
  </si>
  <si>
    <t>TOTAL GASTOS MENSUALES</t>
  </si>
  <si>
    <t>TOTAL AHORROS MENSUALES</t>
  </si>
  <si>
    <t>SALDO DE CUENTA</t>
  </si>
  <si>
    <t>INGRESOS DICIEMBRE</t>
  </si>
  <si>
    <t>GASTOS DICIEMBRE</t>
  </si>
  <si>
    <t>Ahorros mensuales</t>
  </si>
  <si>
    <t>ARTÍCULO</t>
  </si>
  <si>
    <t>CANTIDAD</t>
  </si>
  <si>
    <t>AHORRO ANUAL</t>
  </si>
  <si>
    <t>GASTO ANUAL</t>
  </si>
  <si>
    <t>INGRESO ANUAL</t>
  </si>
  <si>
    <t>Ingreso Irene</t>
  </si>
  <si>
    <t>Alquiler</t>
  </si>
  <si>
    <t>Ingreso Diego</t>
  </si>
  <si>
    <t>Ocio</t>
  </si>
  <si>
    <t>Compra Mercadona</t>
  </si>
  <si>
    <t>IKEA</t>
  </si>
  <si>
    <t>Aerotermia</t>
  </si>
  <si>
    <t>Compra Primor</t>
  </si>
  <si>
    <t>Compra Ahorramás</t>
  </si>
  <si>
    <t>DIGI</t>
  </si>
  <si>
    <t>Compra Lidl</t>
  </si>
  <si>
    <t>Compra Carrefour</t>
  </si>
  <si>
    <t>Compra Alcampo</t>
  </si>
  <si>
    <t>INGRESOS NOVIEMBRE</t>
  </si>
  <si>
    <t>GASTOS NOVIEMBRE</t>
  </si>
  <si>
    <t>FECHA</t>
  </si>
  <si>
    <t>Iberdrola</t>
  </si>
  <si>
    <t>Agua</t>
  </si>
  <si>
    <t>Octopus</t>
  </si>
  <si>
    <t>INGRESOS OCTUBRE</t>
  </si>
  <si>
    <t>GASTOS OCTUBRE</t>
  </si>
  <si>
    <t>Leroy Merlin</t>
  </si>
  <si>
    <t>Gasolina</t>
  </si>
  <si>
    <t>INGRESOS SEPTIEMBRE</t>
  </si>
  <si>
    <t>GASTOS SEPTIEMBRE</t>
  </si>
  <si>
    <t>Pescadería</t>
  </si>
  <si>
    <t>Bocadillo</t>
  </si>
  <si>
    <t>INGRESOS AGOSTO</t>
  </si>
  <si>
    <t>GASTOS AGOSTO</t>
  </si>
  <si>
    <t>Compras varias</t>
  </si>
  <si>
    <t>INGRESOS JULIO</t>
  </si>
  <si>
    <t>GASTOS JULIO</t>
  </si>
  <si>
    <t>Decoración</t>
  </si>
  <si>
    <t>Kebap</t>
  </si>
  <si>
    <t>Frutería</t>
  </si>
  <si>
    <t>INGRESOS JUNIO</t>
  </si>
  <si>
    <t>GASTOS JUNIO</t>
  </si>
  <si>
    <t>Devolución IKEA</t>
  </si>
  <si>
    <t>Muebles y decoración</t>
  </si>
  <si>
    <t>Salmón IKEA</t>
  </si>
  <si>
    <t>McDonald's</t>
  </si>
  <si>
    <t>INGRESOS MAYO</t>
  </si>
  <si>
    <t>GASTOS MAYO</t>
  </si>
  <si>
    <t>INGRESOS ABRIL</t>
  </si>
  <si>
    <t>GASTOS ABRIL</t>
  </si>
  <si>
    <t>Seguro del hogar</t>
  </si>
  <si>
    <t>Mando garaje</t>
  </si>
  <si>
    <t>INGRESOS MARZO</t>
  </si>
  <si>
    <t>GASTOS MARZO</t>
  </si>
  <si>
    <t>INGRESOS FEBRERO</t>
  </si>
  <si>
    <t>GASTOS FEBRERO</t>
  </si>
  <si>
    <t>Muebles IKEA</t>
  </si>
  <si>
    <t>Octopus Energy</t>
  </si>
  <si>
    <t>Fruta</t>
  </si>
  <si>
    <t>INGRESOS ENERO</t>
  </si>
  <si>
    <t>GASTOS ENERO</t>
  </si>
  <si>
    <t>SALDO CUENTA</t>
  </si>
  <si>
    <t>Muebles</t>
  </si>
  <si>
    <t>DATOS DEL GRÁFICO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</si>
</sst>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\ [$€-40B]"/>
    <numFmt numFmtId="179" formatCode="#,##0&quot;€&quot;"/>
    <numFmt numFmtId="180" formatCode="###,000\ [$€-40B]"/>
    <numFmt numFmtId="181" formatCode="#,##0.00\ [$€-C0A]"/>
    <numFmt numFmtId="182" formatCode="_-* #,##0.00\ &quot;€&quot;_-;\-* #,##0.00\ &quot;€&quot;_-;_-* &quot;-&quot;??\ &quot;€&quot;_-;_-@_-"/>
  </numFmts>
  <fonts count="26">
    <font>
      <sz val="10"/>
      <color theme="3" tint="0.249946592608417"/>
      <name val="Century Gothic"/>
      <charset val="134"/>
      <scheme val="minor"/>
    </font>
    <font>
      <u/>
      <sz val="11"/>
      <color rgb="FF0000FF"/>
      <name val="Century Gothic"/>
      <charset val="0"/>
      <scheme val="minor"/>
    </font>
    <font>
      <sz val="10"/>
      <name val="Century Gothic"/>
      <charset val="134"/>
      <scheme val="minor"/>
    </font>
    <font>
      <sz val="20"/>
      <color theme="0"/>
      <name val="Tahoma"/>
      <charset val="134"/>
      <scheme val="major"/>
    </font>
    <font>
      <sz val="13"/>
      <color theme="3" tint="0.249946592608417"/>
      <name val="Tahoma"/>
      <charset val="134"/>
      <scheme val="major"/>
    </font>
    <font>
      <sz val="10"/>
      <color theme="2" tint="-0.0999786370433668"/>
      <name val="Century Gothic"/>
      <charset val="134"/>
      <scheme val="minor"/>
    </font>
    <font>
      <sz val="10"/>
      <color theme="4"/>
      <name val="Tahoma"/>
      <charset val="134"/>
      <scheme val="major"/>
    </font>
    <font>
      <sz val="24"/>
      <color theme="3" tint="0.249946592608417"/>
      <name val="Century Gothic"/>
      <charset val="134"/>
      <scheme val="minor"/>
    </font>
    <font>
      <b/>
      <sz val="16"/>
      <color theme="3" tint="0.249946592608417"/>
      <name val="Century Gothic"/>
      <charset val="134"/>
      <scheme val="minor"/>
    </font>
    <font>
      <sz val="12"/>
      <color theme="4"/>
      <name val="Tahoma"/>
      <charset val="134"/>
      <scheme val="major"/>
    </font>
    <font>
      <b/>
      <sz val="12"/>
      <color theme="4"/>
      <name val="Tahoma"/>
      <charset val="134"/>
      <scheme val="major"/>
    </font>
    <font>
      <sz val="11"/>
      <color theme="1"/>
      <name val="Century Gothic"/>
      <charset val="134"/>
      <scheme val="minor"/>
    </font>
    <font>
      <u/>
      <sz val="11"/>
      <color rgb="FF800080"/>
      <name val="Century Gothic"/>
      <charset val="0"/>
      <scheme val="minor"/>
    </font>
    <font>
      <sz val="11"/>
      <color rgb="FFFF0000"/>
      <name val="Century Gothic"/>
      <charset val="0"/>
      <scheme val="minor"/>
    </font>
    <font>
      <i/>
      <sz val="11"/>
      <color rgb="FF7F7F7F"/>
      <name val="Century Gothic"/>
      <charset val="0"/>
      <scheme val="minor"/>
    </font>
    <font>
      <sz val="11"/>
      <color rgb="FF3F3F76"/>
      <name val="Century Gothic"/>
      <charset val="0"/>
      <scheme val="minor"/>
    </font>
    <font>
      <b/>
      <sz val="11"/>
      <color rgb="FF3F3F3F"/>
      <name val="Century Gothic"/>
      <charset val="0"/>
      <scheme val="minor"/>
    </font>
    <font>
      <b/>
      <sz val="11"/>
      <color rgb="FFFA7D00"/>
      <name val="Century Gothic"/>
      <charset val="0"/>
      <scheme val="minor"/>
    </font>
    <font>
      <b/>
      <sz val="11"/>
      <color rgb="FFFFFFFF"/>
      <name val="Century Gothic"/>
      <charset val="0"/>
      <scheme val="minor"/>
    </font>
    <font>
      <sz val="11"/>
      <color rgb="FFFA7D00"/>
      <name val="Century Gothic"/>
      <charset val="0"/>
      <scheme val="minor"/>
    </font>
    <font>
      <b/>
      <sz val="11"/>
      <color theme="1"/>
      <name val="Century Gothic"/>
      <charset val="0"/>
      <scheme val="minor"/>
    </font>
    <font>
      <sz val="11"/>
      <color rgb="FF006100"/>
      <name val="Century Gothic"/>
      <charset val="0"/>
      <scheme val="minor"/>
    </font>
    <font>
      <sz val="11"/>
      <color rgb="FF9C0006"/>
      <name val="Century Gothic"/>
      <charset val="0"/>
      <scheme val="minor"/>
    </font>
    <font>
      <sz val="11"/>
      <color rgb="FF9C6500"/>
      <name val="Century Gothic"/>
      <charset val="0"/>
      <scheme val="minor"/>
    </font>
    <font>
      <sz val="11"/>
      <color theme="0"/>
      <name val="Century Gothic"/>
      <charset val="0"/>
      <scheme val="minor"/>
    </font>
    <font>
      <sz val="11"/>
      <color theme="1"/>
      <name val="Century Gothic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481185338908"/>
        <bgColor indexed="64"/>
      </patternFill>
    </fill>
    <fill>
      <patternFill patternType="solid">
        <fgColor theme="3" tint="0.0999481185338908"/>
        <bgColor indexed="64"/>
      </patternFill>
    </fill>
    <fill>
      <patternFill patternType="solid">
        <fgColor theme="2" tint="-0.0999481185338908"/>
        <bgColor theme="2" tint="-0.0999481185338908"/>
      </patternFill>
    </fill>
    <fill>
      <patternFill patternType="solid">
        <fgColor theme="4"/>
        <bgColor indexed="64"/>
      </patternFill>
    </fill>
    <fill>
      <patternFill patternType="solid">
        <fgColor theme="2" tint="-0.0999481185338908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theme="2" tint="-0.249946592608417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2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3" borderId="0" applyNumberFormat="0" applyBorder="0" applyProtection="0">
      <alignment horizontal="left" vertical="center"/>
    </xf>
    <xf numFmtId="0" fontId="14" fillId="0" borderId="0" applyNumberFormat="0" applyFill="0" applyBorder="0" applyAlignment="0" applyProtection="0">
      <alignment vertical="center"/>
    </xf>
    <xf numFmtId="0" fontId="4" fillId="2" borderId="0" applyNumberFormat="0" applyProtection="0">
      <alignment horizontal="left"/>
    </xf>
    <xf numFmtId="0" fontId="6" fillId="2" borderId="1" applyNumberFormat="0" applyAlignment="0" applyProtection="0"/>
    <xf numFmtId="178" fontId="7" fillId="2" borderId="0" applyAlignment="0" applyProtection="0"/>
    <xf numFmtId="0" fontId="3" fillId="3" borderId="0" applyNumberFormat="0" applyBorder="0" applyAlignment="0" applyProtection="0"/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4" fillId="2" borderId="0" applyNumberFormat="0" applyAlignment="0" applyProtection="0"/>
    <xf numFmtId="179" fontId="7" fillId="2" borderId="0" applyAlignment="0" applyProtection="0"/>
  </cellStyleXfs>
  <cellXfs count="27">
    <xf numFmtId="0" fontId="0" fillId="2" borderId="0" xfId="0"/>
    <xf numFmtId="0" fontId="1" fillId="2" borderId="0" xfId="6" applyFill="1" applyAlignment="1"/>
    <xf numFmtId="9" fontId="2" fillId="2" borderId="0" xfId="0" applyNumberFormat="1" applyFont="1" applyAlignment="1">
      <alignment horizontal="left" vertical="center"/>
    </xf>
    <xf numFmtId="0" fontId="3" fillId="3" borderId="0" xfId="10" applyBorder="1">
      <alignment horizontal="left" vertical="center"/>
    </xf>
    <xf numFmtId="0" fontId="0" fillId="2" borderId="0" xfId="0" applyAlignment="1">
      <alignment horizontal="left" vertical="center"/>
    </xf>
    <xf numFmtId="0" fontId="0" fillId="2" borderId="0" xfId="0" applyAlignment="1">
      <alignment horizontal="left"/>
    </xf>
    <xf numFmtId="180" fontId="0" fillId="2" borderId="0" xfId="0" applyNumberFormat="1" applyAlignment="1">
      <alignment horizontal="left"/>
    </xf>
    <xf numFmtId="58" fontId="0" fillId="2" borderId="0" xfId="0" applyNumberFormat="1" applyAlignment="1">
      <alignment horizontal="left"/>
    </xf>
    <xf numFmtId="0" fontId="4" fillId="2" borderId="0" xfId="12">
      <alignment horizontal="left"/>
    </xf>
    <xf numFmtId="0" fontId="5" fillId="2" borderId="0" xfId="0" applyFont="1" applyAlignment="1">
      <alignment horizontal="left" vertical="center"/>
    </xf>
    <xf numFmtId="0" fontId="6" fillId="2" borderId="1" xfId="13" applyAlignment="1"/>
    <xf numFmtId="178" fontId="7" fillId="2" borderId="0" xfId="14" applyAlignment="1">
      <alignment horizontal="left" vertical="top"/>
    </xf>
    <xf numFmtId="9" fontId="0" fillId="2" borderId="0" xfId="0" applyNumberFormat="1" applyAlignment="1">
      <alignment vertical="center"/>
    </xf>
    <xf numFmtId="0" fontId="6" fillId="2" borderId="1" xfId="13" applyAlignment="1">
      <alignment horizontal="left" vertical="center"/>
    </xf>
    <xf numFmtId="0" fontId="0" fillId="2" borderId="0" xfId="0" applyAlignment="1">
      <alignment horizontal="left" vertical="center" wrapText="1"/>
    </xf>
    <xf numFmtId="181" fontId="0" fillId="2" borderId="0" xfId="0" applyNumberFormat="1" applyAlignment="1">
      <alignment horizontal="left" vertical="center"/>
    </xf>
    <xf numFmtId="180" fontId="0" fillId="2" borderId="0" xfId="0" applyNumberFormat="1" applyAlignment="1">
      <alignment horizontal="left" vertical="center"/>
    </xf>
    <xf numFmtId="180" fontId="5" fillId="2" borderId="0" xfId="0" applyNumberFormat="1" applyFont="1" applyAlignment="1">
      <alignment horizontal="left" vertical="center"/>
    </xf>
    <xf numFmtId="181" fontId="8" fillId="4" borderId="2" xfId="0" applyNumberFormat="1" applyFont="1" applyFill="1" applyBorder="1" applyAlignment="1">
      <alignment horizontal="left" vertical="center"/>
    </xf>
    <xf numFmtId="58" fontId="0" fillId="2" borderId="0" xfId="0" applyNumberFormat="1" applyAlignment="1">
      <alignment horizontal="left" vertical="center"/>
    </xf>
    <xf numFmtId="0" fontId="0" fillId="2" borderId="0" xfId="0" applyAlignment="1">
      <alignment vertical="center"/>
    </xf>
    <xf numFmtId="0" fontId="0" fillId="5" borderId="0" xfId="0" applyFill="1" applyAlignment="1">
      <alignment horizontal="left" vertical="center"/>
    </xf>
    <xf numFmtId="0" fontId="1" fillId="5" borderId="0" xfId="6" applyFill="1" applyAlignment="1">
      <alignment horizontal="left" vertical="center"/>
    </xf>
    <xf numFmtId="0" fontId="9" fillId="2" borderId="1" xfId="13" applyFont="1" applyAlignment="1">
      <alignment horizontal="left" vertical="center"/>
    </xf>
    <xf numFmtId="182" fontId="8" fillId="2" borderId="0" xfId="0" applyNumberFormat="1" applyFont="1" applyAlignment="1">
      <alignment horizontal="left" vertical="center"/>
    </xf>
    <xf numFmtId="0" fontId="10" fillId="6" borderId="1" xfId="13" applyFont="1" applyFill="1" applyBorder="1" applyAlignment="1">
      <alignment horizontal="left" vertical="center"/>
    </xf>
    <xf numFmtId="178" fontId="8" fillId="2" borderId="0" xfId="0" applyNumberFormat="1" applyFont="1" applyAlignment="1">
      <alignment horizontal="left" vertical="center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ncabezado 1 2" xfId="49"/>
    <cellStyle name="Título 3 2" xfId="50"/>
  </cellStyles>
  <dxfs count="18">
    <dxf>
      <numFmt numFmtId="182" formatCode="_-* #,##0.00\ &quot;€&quot;_-;\-* #,##0.00\ &quot;€&quot;_-;_-* &quot;-&quot;??\ &quot;€&quot;_-;_-@_-"/>
      <alignment horizontal="left" vertical="center"/>
    </dxf>
    <dxf>
      <font>
        <color rgb="FFFF0000"/>
      </font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numFmt numFmtId="58" formatCode="dd/mm/yyyy"/>
      <alignment horizontal="left" vertical="center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</dxfs>
  <tableStyles count="2" defaultTableStyle="TableStyleMedium2" defaultPivotStyle="PivotStyleLight16">
    <tableStyle name="Personal budget table" pivot="0" count="3" xr9:uid="{D99AD487-101C-4552-8BC4-5D4E56ACA5D1}">
      <tableStyleElement type="wholeTable" dxfId="14"/>
      <tableStyleElement type="headerRow" dxfId="13"/>
      <tableStyleElement type="totalRow" dxfId="12"/>
    </tableStyle>
    <tableStyle name="Tabla de presupuesto personal" pivot="0" count="3" xr9:uid="{9F8B790C-ED8F-4D9B-8256-73C861658DFF}">
      <tableStyleElement type="wholeTable" dxfId="17"/>
      <tableStyleElement type="headerRow" dxfId="16"/>
      <tableStyleElement type="totalRow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1834961997829"/>
                  <c:y val="-0.021721401988809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1834961997829"/>
                  <c:y val="-0.021721401988809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1834961997829"/>
                  <c:y val="-0.021721401988809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32102786825914"/>
                  <c:y val="0.014295886309574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76438653637351"/>
                  <c:y val="0.0053315834441990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2898481199577"/>
                  <c:y val="0.0053315834441986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6336772911484"/>
                  <c:y val="0.02559158229974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38964351630268"/>
                  <c:y val="-0.00754432293476556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78774962965209"/>
                  <c:y val="-0.0165086258001406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936373349261"/>
                  <c:y val="0.023702545688638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26'!$F$3:$F$8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26'!$G$3:$G$8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26'!$F$5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26'!$F$8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476738977822"/>
                  <c:y val="-0.0321335101474169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26'!$F$3:$F$8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1353.54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26'!$G$3:$G$8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26'!$F$5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26'!$F$8</c:f>
              <c:numCache>
                <c:formatCode>#,##0\ [$€-40B]</c:formatCode>
                <c:ptCount val="1"/>
                <c:pt idx="0">
                  <c:v>1353.54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80527742438878"/>
                  <c:y val="-0.064380206573218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2639594757047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26'!$F$3:$F$8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1250</c:v>
                </c:pt>
                <c:pt idx="3">
                  <c:v>0</c:v>
                </c:pt>
                <c:pt idx="5" c:formatCode="#,##0\ [$€-40B]">
                  <c:v>1335.39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26'!$G$3:$G$8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29c86b-8f8f-4bdf-ba38-f9e62c74c9a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26'!$F$5</c:f>
              <c:numCache>
                <c:formatCode>#,##0\ [$€-40B]</c:formatCode>
                <c:ptCount val="1"/>
                <c:pt idx="0">
                  <c:v>1250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26'!$F$8</c:f>
              <c:numCache>
                <c:formatCode>#,##0\ [$€-40B]</c:formatCode>
                <c:ptCount val="1"/>
                <c:pt idx="0">
                  <c:v>1335.39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6ead66-1b99-4374-84a5-e869bceb0e8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452995" y="1106170"/>
        <a:ext cx="3181985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177165</xdr:rowOff>
    </xdr:from>
    <xdr:to>
      <xdr:col>4</xdr:col>
      <xdr:colOff>160655</xdr:colOff>
      <xdr:row>15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58190"/>
        <a:ext cx="351853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1</xdr:row>
      <xdr:rowOff>177165</xdr:rowOff>
    </xdr:from>
    <xdr:to>
      <xdr:col>4</xdr:col>
      <xdr:colOff>172720</xdr:colOff>
      <xdr:row>14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12700" y="691515"/>
        <a:ext cx="3527425" cy="395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2</xdr:row>
      <xdr:rowOff>106456</xdr:rowOff>
    </xdr:from>
    <xdr:to>
      <xdr:col>10</xdr:col>
      <xdr:colOff>155865</xdr:colOff>
      <xdr:row>13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039495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129540</xdr:rowOff>
    </xdr:from>
    <xdr:to>
      <xdr:col>4</xdr:col>
      <xdr:colOff>160020</xdr:colOff>
      <xdr:row>14</xdr:row>
      <xdr:rowOff>203200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643890"/>
        <a:ext cx="3517900" cy="399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2</xdr:row>
      <xdr:rowOff>106456</xdr:rowOff>
    </xdr:from>
    <xdr:to>
      <xdr:col>10</xdr:col>
      <xdr:colOff>155865</xdr:colOff>
      <xdr:row>13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039495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129540</xdr:rowOff>
    </xdr:from>
    <xdr:to>
      <xdr:col>4</xdr:col>
      <xdr:colOff>160020</xdr:colOff>
      <xdr:row>14</xdr:row>
      <xdr:rowOff>179070</xdr:rowOff>
    </xdr:to>
    <xdr:graphicFrame>
      <xdr:nvGraphicFramePr>
        <xdr:cNvPr id="4" name="chtIncomePct" descr="Gráfico de anillos que muestra el porcentaje de ingresos." title="Gráfico de porcentaje de ingresos"/>
        <xdr:cNvGraphicFramePr/>
      </xdr:nvGraphicFramePr>
      <xdr:xfrm>
        <a:off x="9525" y="643890"/>
        <a:ext cx="3517900" cy="397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2</xdr:row>
      <xdr:rowOff>106456</xdr:rowOff>
    </xdr:from>
    <xdr:to>
      <xdr:col>10</xdr:col>
      <xdr:colOff>155865</xdr:colOff>
      <xdr:row>13</xdr:row>
      <xdr:rowOff>536864</xdr:rowOff>
    </xdr:to>
    <xdr:graphicFrame>
      <xdr:nvGraphicFramePr>
        <xdr:cNvPr id="2" name="chtIncomeExpenses" descr="Gráfico de barras de columnas que muestra los ingresos y los gastos." title="Ingresos vs. Gastos"/>
        <xdr:cNvGraphicFramePr/>
      </xdr:nvGraphicFramePr>
      <xdr:xfrm>
        <a:off x="7068820" y="1039495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4" name="MonthlyIncome7_41013172023293235" displayName="MonthlyIncome7_41013172023293235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.xml><?xml version="1.0" encoding="utf-8"?>
<table xmlns="http://schemas.openxmlformats.org/spreadsheetml/2006/main" id="35" name="MonthlyExpenses8_51114161922283136" displayName="MonthlyExpenses8_51114161922283136" ref="E17:F28" totalsRowShown="0">
  <autoFilter xmlns:etc="http://www.wps.cn/officeDocument/2017/etCustomData" ref="E17:F28" etc:filterBottomFollowUsedRange="0"/>
  <sortState ref="E17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.xml><?xml version="1.0" encoding="utf-8"?>
<table xmlns="http://schemas.openxmlformats.org/spreadsheetml/2006/main" id="36" name="Savings9_2761215182124303334" displayName="Savings9_2761215182124303334" ref="H17:H18" totalsRowShown="0">
  <autoFilter xmlns:etc="http://www.wps.cn/officeDocument/2017/etCustomData" ref="H17:H18" etc:filterBottomFollowUsedRange="0"/>
  <tableColumns count="1">
    <tableColumn id="1" name="AHORRO ANUAL" dataDxfId="0"/>
  </tableColumns>
  <tableStyleInfo name="Personal budget table" showFirstColumn="0" showLastColumn="0" showRowStripes="1" showColumnStripes="0"/>
</table>
</file>

<file path=xl/tables/table4.xml><?xml version="1.0" encoding="utf-8"?>
<table xmlns="http://schemas.openxmlformats.org/spreadsheetml/2006/main" id="30" name="MonthlyExpenses8_511141619222831" displayName="MonthlyExpenses8_511141619222831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5.xml><?xml version="1.0" encoding="utf-8"?>
<table xmlns="http://schemas.openxmlformats.org/spreadsheetml/2006/main" id="31" name="MonthlyIncome7_410131720232932" displayName="MonthlyIncome7_410131720232932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6.xml><?xml version="1.0" encoding="utf-8"?>
<table xmlns="http://schemas.openxmlformats.org/spreadsheetml/2006/main" id="32" name="Savings9_612151821243033" displayName="Savings9_612151821243033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7.xml><?xml version="1.0" encoding="utf-8"?>
<table xmlns="http://schemas.openxmlformats.org/spreadsheetml/2006/main" id="27" name="MonthlyExpenses8_5111416192228" displayName="MonthlyExpenses8_5111416192228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8.xml><?xml version="1.0" encoding="utf-8"?>
<table xmlns="http://schemas.openxmlformats.org/spreadsheetml/2006/main" id="28" name="MonthlyIncome7_4101317202329" displayName="MonthlyIncome7_4101317202329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9.xml><?xml version="1.0" encoding="utf-8"?>
<table xmlns="http://schemas.openxmlformats.org/spreadsheetml/2006/main" id="29" name="Savings9_6121518212430" displayName="Savings9_6121518212430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0.xml><?xml version="1.0" encoding="utf-8"?>
<table xmlns="http://schemas.openxmlformats.org/spreadsheetml/2006/main" id="21" name="MonthlyExpenses8_51114161922" displayName="MonthlyExpenses8_51114161922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1.xml><?xml version="1.0" encoding="utf-8"?>
<table xmlns="http://schemas.openxmlformats.org/spreadsheetml/2006/main" id="22" name="MonthlyIncome7_41013172023" displayName="MonthlyIncome7_41013172023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2.xml><?xml version="1.0" encoding="utf-8"?>
<table xmlns="http://schemas.openxmlformats.org/spreadsheetml/2006/main" id="23" name="Savings9_61215182124" displayName="Savings9_61215182124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3.xml><?xml version="1.0" encoding="utf-8"?>
<table xmlns="http://schemas.openxmlformats.org/spreadsheetml/2006/main" id="24" name="MonthlyExpenses8_5111416192225" displayName="MonthlyExpenses8_5111416192225" ref="E17:F24" totalsRowShown="0">
  <autoFilter xmlns:etc="http://www.wps.cn/officeDocument/2017/etCustomData" ref="E17:F24" etc:filterBottomFollowUsedRange="0"/>
  <sortState ref="E17:F24">
    <sortCondition ref="F17:F24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4.xml><?xml version="1.0" encoding="utf-8"?>
<table xmlns="http://schemas.openxmlformats.org/spreadsheetml/2006/main" id="25" name="MonthlyIncome7_4101317202326" displayName="MonthlyIncome7_4101317202326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5.xml><?xml version="1.0" encoding="utf-8"?>
<table xmlns="http://schemas.openxmlformats.org/spreadsheetml/2006/main" id="26" name="Savings9_6121518212427" displayName="Savings9_6121518212427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6.xml><?xml version="1.0" encoding="utf-8"?>
<table xmlns="http://schemas.openxmlformats.org/spreadsheetml/2006/main" id="18" name="MonthlyExpenses8_511141619" displayName="MonthlyExpenses8_511141619" ref="E17:F28" totalsRowShown="0">
  <autoFilter xmlns:etc="http://www.wps.cn/officeDocument/2017/etCustomData" ref="E17:F28" etc:filterBottomFollowUsedRange="0"/>
  <sortState ref="E17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7.xml><?xml version="1.0" encoding="utf-8"?>
<table xmlns="http://schemas.openxmlformats.org/spreadsheetml/2006/main" id="19" name="MonthlyIncome7_410131720" displayName="MonthlyIncome7_410131720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8.xml><?xml version="1.0" encoding="utf-8"?>
<table xmlns="http://schemas.openxmlformats.org/spreadsheetml/2006/main" id="20" name="Savings9_612151821" displayName="Savings9_612151821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9.xml><?xml version="1.0" encoding="utf-8"?>
<table xmlns="http://schemas.openxmlformats.org/spreadsheetml/2006/main" id="15" name="MonthlyExpenses8_5111416" displayName="MonthlyExpenses8_5111416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0.xml><?xml version="1.0" encoding="utf-8"?>
<table xmlns="http://schemas.openxmlformats.org/spreadsheetml/2006/main" id="16" name="MonthlyIncome7_4101317" displayName="MonthlyIncome7_4101317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1.xml><?xml version="1.0" encoding="utf-8"?>
<table xmlns="http://schemas.openxmlformats.org/spreadsheetml/2006/main" id="17" name="Savings9_6121518" displayName="Savings9_6121518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2.xml><?xml version="1.0" encoding="utf-8"?>
<table xmlns="http://schemas.openxmlformats.org/spreadsheetml/2006/main" id="12" name="MonthlyIncome7_41013" displayName="MonthlyIncome7_41013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3.xml><?xml version="1.0" encoding="utf-8"?>
<table xmlns="http://schemas.openxmlformats.org/spreadsheetml/2006/main" id="13" name="MonthlyExpenses8_51114" displayName="MonthlyExpenses8_51114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4.xml><?xml version="1.0" encoding="utf-8"?>
<table xmlns="http://schemas.openxmlformats.org/spreadsheetml/2006/main" id="14" name="Savings9_61215" displayName="Savings9_61215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5.xml><?xml version="1.0" encoding="utf-8"?>
<table xmlns="http://schemas.openxmlformats.org/spreadsheetml/2006/main" id="9" name="MonthlyIncome7_410" displayName="MonthlyIncome7_410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6.xml><?xml version="1.0" encoding="utf-8"?>
<table xmlns="http://schemas.openxmlformats.org/spreadsheetml/2006/main" id="10" name="MonthlyExpenses8_511" displayName="MonthlyExpenses8_511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7.xml><?xml version="1.0" encoding="utf-8"?>
<table xmlns="http://schemas.openxmlformats.org/spreadsheetml/2006/main" id="11" name="Savings9_612" displayName="Savings9_612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8.xml><?xml version="1.0" encoding="utf-8"?>
<table xmlns="http://schemas.openxmlformats.org/spreadsheetml/2006/main" id="3" name="MonthlyIncome7_4" displayName="MonthlyIncome7_4" ref="B16:C19" totalsRowShown="0">
  <autoFilter xmlns:etc="http://www.wps.cn/officeDocument/2017/etCustomData" ref="B16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9.xml><?xml version="1.0" encoding="utf-8"?>
<table xmlns="http://schemas.openxmlformats.org/spreadsheetml/2006/main" id="4" name="MonthlyExpenses8_5" displayName="MonthlyExpenses8_5" ref="E16:F25" totalsRowShown="0">
  <autoFilter xmlns:etc="http://www.wps.cn/officeDocument/2017/etCustomData" ref="E16:F25" etc:filterBottomFollowUsedRange="0"/>
  <sortState ref="E16:F25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0.xml><?xml version="1.0" encoding="utf-8"?>
<table xmlns="http://schemas.openxmlformats.org/spreadsheetml/2006/main" id="5" name="Savings9_6" displayName="Savings9_6" ref="H16:I19" totalsRowShown="0">
  <autoFilter xmlns:etc="http://www.wps.cn/officeDocument/2017/etCustomData" ref="H16:I19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31.xml><?xml version="1.0" encoding="utf-8"?>
<table xmlns="http://schemas.openxmlformats.org/spreadsheetml/2006/main" id="6" name="MonthlyIncome7" displayName="MonthlyIncome7" ref="B16:C19" totalsRowShown="0">
  <autoFilter xmlns:etc="http://www.wps.cn/officeDocument/2017/etCustomData" ref="B16:C19" etc:filterBottomFollowUsedRange="0"/>
  <tableColumns count="2">
    <tableColumn id="1" name="ARTÍCULO" dataDxfId="2"/>
    <tableColumn id="2" name="CANTIDAD" dataDxfId="3"/>
  </tableColumns>
  <tableStyleInfo name="Personal budget table" showFirstColumn="0" showLastColumn="0" showRowStripes="1" showColumnStripes="0"/>
</table>
</file>

<file path=xl/tables/table32.xml><?xml version="1.0" encoding="utf-8"?>
<table xmlns="http://schemas.openxmlformats.org/spreadsheetml/2006/main" id="7" name="MonthlyExpenses8" displayName="MonthlyExpenses8" ref="E16:F26" totalsRowShown="0">
  <autoFilter xmlns:etc="http://www.wps.cn/officeDocument/2017/etCustomData" ref="E16:F26" etc:filterBottomFollowUsedRange="0"/>
  <sortState ref="E17:F26">
    <sortCondition ref="F16" descending="1"/>
  </sortState>
  <tableColumns count="2">
    <tableColumn id="1" name="ARTÍCULO" dataDxfId="4"/>
    <tableColumn id="3" name="CANTIDAD" dataDxfId="5"/>
  </tableColumns>
  <tableStyleInfo name="Personal budget table" showFirstColumn="0" showLastColumn="0" showRowStripes="1" showColumnStripes="0"/>
</table>
</file>

<file path=xl/tables/table33.xml><?xml version="1.0" encoding="utf-8"?>
<table xmlns="http://schemas.openxmlformats.org/spreadsheetml/2006/main" id="8" name="Savings9" displayName="Savings9" ref="H16:I19" totalsRowShown="0">
  <autoFilter xmlns:etc="http://www.wps.cn/officeDocument/2017/etCustomData" ref="H16:I19" etc:filterBottomFollowUsedRange="0"/>
  <tableColumns count="2">
    <tableColumn id="1" name="FECHA" dataDxfId="6"/>
    <tableColumn id="2" name="CANTIDAD" dataDxfId="7"/>
  </tableColumns>
  <tableStyleInfo name="Personal budget table" showFirstColumn="0" showLastColumn="0" showRowStripes="1" showColumnStripes="0"/>
</table>
</file>

<file path=xl/tables/table34.xml><?xml version="1.0" encoding="utf-8"?>
<table xmlns="http://schemas.openxmlformats.org/spreadsheetml/2006/main" id="1" name="MonthlyIncome" displayName="MonthlyIncome" ref="B16:C19" totalsRowShown="0">
  <autoFilter xmlns:etc="http://www.wps.cn/officeDocument/2017/etCustomData" ref="B16:C19" etc:filterBottomFollowUsedRange="0"/>
  <tableColumns count="2">
    <tableColumn id="1" name="ARTÍCULO" dataDxfId="8"/>
    <tableColumn id="2" name="CANTIDAD" dataDxfId="9"/>
  </tableColumns>
  <tableStyleInfo name="Personal budget table" showFirstColumn="0" showLastColumn="0" showRowStripes="1" showColumnStripes="0"/>
</table>
</file>

<file path=xl/tables/table35.xml><?xml version="1.0" encoding="utf-8"?>
<table xmlns="http://schemas.openxmlformats.org/spreadsheetml/2006/main" id="2" name="MonthlyExpenses" displayName="MonthlyExpenses" ref="E16:F27" totalsRowShown="0">
  <autoFilter xmlns:etc="http://www.wps.cn/officeDocument/2017/etCustomData" ref="E16:F27" etc:filterBottomFollowUsedRange="0"/>
  <sortState ref="E16:F27">
    <sortCondition ref="F17" descending="1"/>
  </sortState>
  <tableColumns count="2">
    <tableColumn id="1" name="ARTÍCULO" dataDxfId="10"/>
    <tableColumn id="3" name="CANTIDAD" dataDxfId="11"/>
  </tableColumns>
  <tableStyleInfo name="Personal budget table" showFirstColumn="0" showLastColumn="0" showRowStripes="1" showColumnStripes="0"/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8.xml"/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1.xml"/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4.xml"/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0.xml"/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3.xml"/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M29"/>
  <sheetViews>
    <sheetView showGridLines="0" zoomScale="80" zoomScaleNormal="80" workbookViewId="0">
      <selection activeCell="M18" sqref="M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25.4285714285714" style="5" customWidth="1"/>
    <col min="6" max="6" width="15.6666666666667" style="7" customWidth="1"/>
    <col min="7" max="7" width="15.6666666666667" style="6" customWidth="1"/>
    <col min="8" max="8" width="18.5714285714286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2" width="9.16190476190476" style="5"/>
    <col min="13" max="13" width="12.4285714285714" style="5"/>
    <col min="14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SUM(MonthlyIncome7_41013172023293235[CANTIDAD])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SUM(MonthlyExpenses8_51114161922283136[CANTIDAD])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'DICIEMBRE 26'!TotalMonthlyIncome-'DICIEMBRE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SUM('NOVIEMBRE 26'!F15+'DICIEMBRE 26'!TotalMonthlySavings)</f>
        <v>1243.07</v>
      </c>
      <c r="G15" s="11"/>
    </row>
    <row r="16" s="4" customFormat="1" ht="31.5" customHeight="1" spans="2:10">
      <c r="B16" s="8" t="s">
        <v>9</v>
      </c>
      <c r="C16" s="8"/>
      <c r="D16"/>
      <c r="E16" s="8" t="s">
        <v>10</v>
      </c>
      <c r="F16" s="8"/>
      <c r="G16" s="8"/>
      <c r="H16"/>
      <c r="I16" s="8" t="s">
        <v>11</v>
      </c>
      <c r="J16" s="8"/>
    </row>
    <row r="17" s="4" customFormat="1" ht="39.75" customHeight="1" spans="2:13">
      <c r="B17" s="13" t="s">
        <v>12</v>
      </c>
      <c r="C17" s="13" t="s">
        <v>13</v>
      </c>
      <c r="E17" s="13" t="s">
        <v>12</v>
      </c>
      <c r="F17" s="13" t="s">
        <v>13</v>
      </c>
      <c r="H17" s="23" t="s">
        <v>14</v>
      </c>
      <c r="J17" s="25" t="s">
        <v>15</v>
      </c>
      <c r="M17" s="25" t="s">
        <v>16</v>
      </c>
    </row>
    <row r="18" ht="28" customHeight="1" spans="1:13">
      <c r="A18" s="4"/>
      <c r="B18" s="14" t="s">
        <v>17</v>
      </c>
      <c r="C18" s="15"/>
      <c r="D18" s="4"/>
      <c r="E18" s="14" t="s">
        <v>18</v>
      </c>
      <c r="F18" s="15"/>
      <c r="G18" s="4"/>
      <c r="H18" s="24">
        <f>SUM('ENERO 26'!F11,'FEBRERO 26'!F11,'MARZO 26'!F11,'ABRIL 26'!F12,'MAYO 26'!F12,'JUNIO 26'!F12,'JULIO 26'!F12,'AGOSTO 26'!F12,'SEPTIEMBRE 26'!F12,'OCTUBRE 26'!F12,'NOVIEMBRE 26'!F12,F12)</f>
        <v>-188.93</v>
      </c>
      <c r="I18" s="5"/>
      <c r="J18" s="26">
        <f>SUM('ENERO 26'!F8,'FEBRERO 26'!F8,'MARZO 26'!F8,'ABRIL 26'!F9,'MAYO 26'!F9,'JUNIO 26'!F9,'JULIO 26'!F9,'AGOSTO 26'!F9,'SEPTIEMBRE 26'!F9,'OCTUBRE 26'!F9,'NOVIEMBRE 26'!F9,F9)</f>
        <v>2688.93</v>
      </c>
      <c r="M18" s="26">
        <f>SUM('ENERO 26'!F5,'FEBRERO 26'!F5,'MARZO 26'!F5,'ABRIL 26'!F6,'MAYO 26'!F6,'JUNIO 26'!F6,'JULIO 26'!F6,'AGOSTO 26'!F6,'SEPTIEMBRE 26'!F6,'OCTUBRE 26'!F6,'NOVIEMBRE 26'!F6,F6)</f>
        <v>2500</v>
      </c>
    </row>
    <row r="19" ht="28" customHeight="1" spans="1:10">
      <c r="A19" s="4"/>
      <c r="B19" s="14" t="s">
        <v>19</v>
      </c>
      <c r="C19" s="15"/>
      <c r="D19" s="4"/>
      <c r="E19" s="20" t="s">
        <v>20</v>
      </c>
      <c r="F19" s="15"/>
      <c r="G19" s="4"/>
      <c r="H19" s="4"/>
      <c r="I19" s="5"/>
      <c r="J19" s="5"/>
    </row>
    <row r="20" ht="28" customHeight="1" spans="1:10">
      <c r="A20" s="4"/>
      <c r="B20" s="4"/>
      <c r="C20" s="16"/>
      <c r="D20" s="4"/>
      <c r="E20" s="14" t="s">
        <v>21</v>
      </c>
      <c r="F20" s="15"/>
      <c r="G20" s="4"/>
      <c r="H20" s="4"/>
      <c r="I20" s="5"/>
      <c r="J20" s="5"/>
    </row>
    <row r="21" ht="28" customHeight="1" spans="1:10">
      <c r="A21" s="4"/>
      <c r="B21" s="4"/>
      <c r="C21" s="16"/>
      <c r="D21" s="4"/>
      <c r="E21" s="14" t="s">
        <v>22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20" t="s">
        <v>23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20" t="s">
        <v>24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14" t="s">
        <v>25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26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14" t="s">
        <v>27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E27" s="14" t="s">
        <v>28</v>
      </c>
      <c r="F27" s="15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E28" s="14" t="s">
        <v>29</v>
      </c>
      <c r="F28" s="15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SUM(MonthlyIncome7_410131720232932[CANTIDAD])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SUM(MonthlyExpenses8_511141619222831[CANTIDAD])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'NOVIEMBRE 26'!TotalMonthlyIncome-'NOVIEMBRE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SUM('OCTUBRE 26'!F15+'NOVIEMBRE 26'!TotalMonthlySavings)</f>
        <v>1243.07</v>
      </c>
      <c r="G15" s="11"/>
    </row>
    <row r="16" s="4" customFormat="1" ht="31.5" customHeight="1" spans="2:10">
      <c r="B16" s="8" t="s">
        <v>30</v>
      </c>
      <c r="C16" s="8"/>
      <c r="D16"/>
      <c r="E16" s="8" t="s">
        <v>31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14" t="s">
        <v>28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14" t="s">
        <v>22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33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20" t="s">
        <v>34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23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20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20" t="s">
        <v>26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E27" s="20" t="s">
        <v>35</v>
      </c>
      <c r="F27" s="15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SUM(MonthlyIncome7_4101317202329[CANTIDAD])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SUM(MonthlyExpenses8_5111416192228[CANTIDAD])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'OCTUBRE 26'!TotalMonthlyIncome-'OCTUBRE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SUM('SEPTIEMBRE 26'!F15+'OCTUBRE 26'!TotalMonthlySavings)</f>
        <v>1243.07</v>
      </c>
      <c r="G15" s="11"/>
    </row>
    <row r="16" s="4" customFormat="1" ht="31.5" customHeight="1" spans="2:10">
      <c r="B16" s="8" t="s">
        <v>36</v>
      </c>
      <c r="C16" s="8"/>
      <c r="D16"/>
      <c r="E16" s="8" t="s">
        <v>37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20" t="s">
        <v>38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14" t="s">
        <v>28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20" t="s">
        <v>39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33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14" t="s">
        <v>22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20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20" t="s">
        <v>23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E27" s="20" t="s">
        <v>26</v>
      </c>
      <c r="F27" s="15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SUM(MonthlyIncome7_41013172023[CANTIDAD])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SUM(MonthlyExpenses8_51114161922[CANTIDAD])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'SEPTIEMBRE 26'!TotalMonthlyIncome-'SEPTIEMBRE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SUM('AGOSTO 26'!F15+'SEPTIEMBRE 26'!TotalMonthlySavings)</f>
        <v>1243.07</v>
      </c>
      <c r="G15" s="11"/>
    </row>
    <row r="16" s="4" customFormat="1" ht="31.5" customHeight="1" spans="2:10">
      <c r="B16" s="8" t="s">
        <v>40</v>
      </c>
      <c r="C16" s="8"/>
      <c r="D16"/>
      <c r="E16" s="8" t="s">
        <v>41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20" t="s">
        <v>23</v>
      </c>
      <c r="F19" s="15"/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14" t="s">
        <v>21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20" t="s">
        <v>42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33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20" t="s">
        <v>34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26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43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14" t="s">
        <v>22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SUM(MonthlyIncome7_4101317202326[CANTIDAD])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SUM(MonthlyExpenses8_5111416192225[CANTIDAD])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'AGOSTO 26'!TotalMonthlyIncome-'AGOSTO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SUM('JULIO 26'!F15+'AGOSTO 26'!TotalMonthlySavings)</f>
        <v>1243.07</v>
      </c>
      <c r="G15" s="11"/>
    </row>
    <row r="16" s="4" customFormat="1" ht="31.5" customHeight="1" spans="2:10">
      <c r="B16" s="8" t="s">
        <v>44</v>
      </c>
      <c r="C16" s="8"/>
      <c r="D16"/>
      <c r="E16" s="8" t="s">
        <v>45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20" t="s">
        <v>28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14" t="s">
        <v>33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46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20" t="s">
        <v>23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26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SUM(MonthlyIncome7_410131720[CANTIDAD])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SUM(MonthlyExpenses8_511141619[CANTIDAD])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'JULIO 26'!TotalMonthlyIncome-'JULIO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SUM('JUNIO 26'!F15+'JULIO 26'!TotalMonthlySavings)</f>
        <v>1243.07</v>
      </c>
      <c r="G15" s="11"/>
    </row>
    <row r="16" s="4" customFormat="1" ht="31.5" customHeight="1" spans="2:10">
      <c r="B16" s="8" t="s">
        <v>47</v>
      </c>
      <c r="C16" s="8"/>
      <c r="D16"/>
      <c r="E16" s="8" t="s">
        <v>48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20" t="s">
        <v>28</v>
      </c>
      <c r="F19" s="15"/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14" t="s">
        <v>21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14" t="s">
        <v>49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33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34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29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23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14" t="s">
        <v>50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E27" s="20" t="s">
        <v>51</v>
      </c>
      <c r="F27" s="15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E28" s="20" t="s">
        <v>26</v>
      </c>
      <c r="F28" s="15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SUM(MonthlyIncome7_4101317[CANTIDAD])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SUM(MonthlyExpenses8_5111416[CANTIDAD])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'JUNIO 26'!TotalMonthlyIncome-'JUNIO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SUM('MAYO 26'!F15+'JUNIO 26'!TotalMonthlySavings)</f>
        <v>1243.07</v>
      </c>
      <c r="G15" s="11"/>
    </row>
    <row r="16" s="4" customFormat="1" ht="31.5" customHeight="1" spans="2:10">
      <c r="B16" s="8" t="s">
        <v>52</v>
      </c>
      <c r="C16" s="8"/>
      <c r="D16"/>
      <c r="E16" s="8" t="s">
        <v>53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14" t="s">
        <v>54</v>
      </c>
      <c r="C20" s="15"/>
      <c r="D20" s="4"/>
      <c r="E20" s="14" t="s">
        <v>55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14" t="s">
        <v>33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20" t="s">
        <v>56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20" t="s">
        <v>23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57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26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20" t="s">
        <v>51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B29" s="4"/>
      <c r="C29" s="16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SUM(MonthlyIncome7_41013[CANTIDAD])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SUM(MonthlyExpenses8_51114[CANTIDAD])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'MAYO 26'!TotalMonthlyIncome-'MAYO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SUM('ABRIL 26'!F15+'MAYO 26'!TotalMonthlySavings)</f>
        <v>1243.07</v>
      </c>
      <c r="G15" s="11"/>
    </row>
    <row r="16" s="4" customFormat="1" ht="31.5" customHeight="1" spans="2:10">
      <c r="B16" s="8" t="s">
        <v>58</v>
      </c>
      <c r="C16" s="8"/>
      <c r="D16"/>
      <c r="E16" s="8" t="s">
        <v>59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14"/>
      <c r="C20" s="15"/>
      <c r="D20" s="4"/>
      <c r="E20" s="14" t="s">
        <v>55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20" t="s">
        <v>28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33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27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14" t="s">
        <v>34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23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20" t="s">
        <v>26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B29" s="4"/>
      <c r="C29" s="16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1" customFormat="1" ht="5.25" customHeight="1" spans="1:1">
      <c r="A1" s="22" t="s">
        <v>0</v>
      </c>
    </row>
    <row r="2" s="3" customFormat="1" ht="40.5" customHeight="1" spans="2:11">
      <c r="B2" s="3" t="s">
        <v>1</v>
      </c>
      <c r="K2" s="3" t="s">
        <v>2</v>
      </c>
    </row>
    <row r="3" s="4" customFormat="1" ht="33" customHeight="1" spans="2:6">
      <c r="B3" s="8" t="s">
        <v>3</v>
      </c>
      <c r="F3" s="8" t="s">
        <v>4</v>
      </c>
    </row>
    <row r="4" s="4" customFormat="1" ht="18.75" customHeight="1" spans="5:7">
      <c r="E4" s="9"/>
      <c r="F4" s="10" t="s">
        <v>5</v>
      </c>
      <c r="G4" s="10"/>
    </row>
    <row r="5" s="4" customFormat="1" ht="3.75" customHeight="1" spans="5:7">
      <c r="E5" s="9"/>
      <c r="F5"/>
      <c r="G5"/>
    </row>
    <row r="6" s="4" customFormat="1" ht="46.5" customHeight="1" spans="5:10">
      <c r="E6" s="9"/>
      <c r="F6" s="11">
        <f>SUM(MonthlyIncome7_410[CANTIDAD])</f>
        <v>0</v>
      </c>
      <c r="G6" s="11"/>
      <c r="I6" s="9"/>
      <c r="J6" s="17"/>
    </row>
    <row r="7" s="4" customFormat="1" ht="18.75" customHeight="1" spans="6:10">
      <c r="F7" s="10" t="s">
        <v>6</v>
      </c>
      <c r="G7" s="10"/>
      <c r="I7" s="9"/>
      <c r="J7" s="17"/>
    </row>
    <row r="8" s="4" customFormat="1" ht="3.75" customHeight="1" spans="6:10">
      <c r="F8"/>
      <c r="G8"/>
      <c r="I8" s="9"/>
      <c r="J8" s="17"/>
    </row>
    <row r="9" s="4" customFormat="1" ht="46.5" customHeight="1" spans="5:7">
      <c r="E9" s="12"/>
      <c r="F9" s="11">
        <f>SUM(MonthlyExpenses8_511[CANTIDAD])</f>
        <v>0</v>
      </c>
      <c r="G9" s="11"/>
    </row>
    <row r="10" s="4" customFormat="1" ht="18.75" customHeight="1" spans="1:7">
      <c r="A10" s="12"/>
      <c r="E10" s="12"/>
      <c r="F10" s="10" t="s">
        <v>7</v>
      </c>
      <c r="G10" s="10"/>
    </row>
    <row r="11" s="4" customFormat="1" ht="3.75" customHeight="1" spans="1:7">
      <c r="A11" s="12"/>
      <c r="E11" s="12"/>
      <c r="F11"/>
      <c r="G11"/>
    </row>
    <row r="12" s="4" customFormat="1" ht="46.5" customHeight="1" spans="1:7">
      <c r="A12" s="12"/>
      <c r="E12" s="12"/>
      <c r="F12" s="11">
        <f>'ABRIL 26'!TotalMonthlyIncome-'ABRIL 26'!TotalMonthlyExpenses</f>
        <v>0</v>
      </c>
      <c r="G12" s="11"/>
    </row>
    <row r="13" s="4" customFormat="1" ht="18.75" customHeight="1" spans="1:7">
      <c r="A13" s="12"/>
      <c r="E13" s="12"/>
      <c r="F13" s="10" t="s">
        <v>8</v>
      </c>
      <c r="G13" s="10"/>
    </row>
    <row r="14" s="4" customFormat="1" ht="3.75" customHeight="1" spans="1:7">
      <c r="A14" s="12"/>
      <c r="E14" s="12"/>
      <c r="F14"/>
      <c r="G14"/>
    </row>
    <row r="15" s="4" customFormat="1" ht="46.5" customHeight="1" spans="1:7">
      <c r="A15" s="12"/>
      <c r="E15" s="12"/>
      <c r="F15" s="11">
        <f>SUM('MARZO 26'!F14+'ABRIL 26'!TotalMonthlySavings)</f>
        <v>1243.07</v>
      </c>
      <c r="G15" s="11"/>
    </row>
    <row r="16" s="4" customFormat="1" ht="31.5" customHeight="1" spans="2:10">
      <c r="B16" s="8" t="s">
        <v>60</v>
      </c>
      <c r="C16" s="8"/>
      <c r="D16"/>
      <c r="E16" s="8" t="s">
        <v>61</v>
      </c>
      <c r="F16" s="8"/>
      <c r="G16" s="8"/>
      <c r="H16"/>
      <c r="I16" s="8" t="s">
        <v>11</v>
      </c>
      <c r="J16" s="8"/>
    </row>
    <row r="17" s="4" customFormat="1" ht="39.75" customHeight="1" spans="2:9">
      <c r="B17" s="13" t="s">
        <v>12</v>
      </c>
      <c r="C17" s="13" t="s">
        <v>13</v>
      </c>
      <c r="E17" s="13" t="s">
        <v>12</v>
      </c>
      <c r="F17" s="13" t="s">
        <v>13</v>
      </c>
      <c r="H17" s="13" t="s">
        <v>32</v>
      </c>
      <c r="I17" s="13" t="s">
        <v>13</v>
      </c>
    </row>
    <row r="18" ht="28" customHeight="1" spans="1:10">
      <c r="A18" s="4"/>
      <c r="B18" s="14" t="s">
        <v>17</v>
      </c>
      <c r="C18" s="15"/>
      <c r="D18" s="4"/>
      <c r="E18" s="14" t="s">
        <v>18</v>
      </c>
      <c r="F18" s="15"/>
      <c r="G18" s="4"/>
      <c r="H18" s="19"/>
      <c r="I18" s="15"/>
      <c r="J18" s="4"/>
    </row>
    <row r="19" ht="28" customHeight="1" spans="1:10">
      <c r="A19" s="4"/>
      <c r="B19" s="14" t="s">
        <v>19</v>
      </c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14"/>
      <c r="C20" s="15"/>
      <c r="D20" s="4"/>
      <c r="E20" s="14" t="s">
        <v>55</v>
      </c>
      <c r="F20" s="15"/>
      <c r="G20" s="4"/>
      <c r="H20" s="19"/>
      <c r="I20" s="15"/>
      <c r="J20" s="4"/>
    </row>
    <row r="21" ht="28" customHeight="1" spans="1:10">
      <c r="A21" s="4"/>
      <c r="B21" s="4"/>
      <c r="C21" s="16"/>
      <c r="D21" s="4"/>
      <c r="E21" s="14" t="s">
        <v>28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20" t="s">
        <v>62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33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23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63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20" t="s">
        <v>26</v>
      </c>
      <c r="F26" s="15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E27" s="14"/>
      <c r="F27" s="15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B29" s="4"/>
      <c r="C29" s="16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hyperlinks>
    <hyperlink ref="A1" location="'Hoja14'!A1" display="Volver al directorio"/>
  </hyperlinks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8"/>
  <sheetViews>
    <sheetView showGridLines="0" zoomScale="80" zoomScaleNormal="80" workbookViewId="0">
      <selection activeCell="A1" sqref="$A1:$XFD1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3" customFormat="1" ht="40.5" customHeight="1" spans="2:11">
      <c r="B1" s="3" t="s">
        <v>1</v>
      </c>
      <c r="K1" s="3" t="s">
        <v>2</v>
      </c>
    </row>
    <row r="2" s="4" customFormat="1" ht="33" customHeight="1" spans="2:6">
      <c r="B2" s="8" t="s">
        <v>3</v>
      </c>
      <c r="F2" s="8" t="s">
        <v>4</v>
      </c>
    </row>
    <row r="3" s="4" customFormat="1" ht="18.75" customHeight="1" spans="5:7">
      <c r="E3" s="9"/>
      <c r="F3" s="10" t="s">
        <v>5</v>
      </c>
      <c r="G3" s="10"/>
    </row>
    <row r="4" s="4" customFormat="1" ht="3.75" customHeight="1" spans="5:7">
      <c r="E4" s="9"/>
      <c r="F4"/>
      <c r="G4"/>
    </row>
    <row r="5" s="4" customFormat="1" ht="46.5" customHeight="1" spans="5:10">
      <c r="E5" s="9"/>
      <c r="F5" s="11">
        <f>SUM(MonthlyIncome7_4[CANTIDAD])</f>
        <v>0</v>
      </c>
      <c r="G5" s="11"/>
      <c r="I5" s="9"/>
      <c r="J5" s="17"/>
    </row>
    <row r="6" s="4" customFormat="1" ht="18.75" customHeight="1" spans="6:10">
      <c r="F6" s="10" t="s">
        <v>6</v>
      </c>
      <c r="G6" s="10"/>
      <c r="I6" s="9"/>
      <c r="J6" s="17"/>
    </row>
    <row r="7" s="4" customFormat="1" ht="3.75" customHeight="1" spans="6:10">
      <c r="F7"/>
      <c r="G7"/>
      <c r="I7" s="9"/>
      <c r="J7" s="17"/>
    </row>
    <row r="8" s="4" customFormat="1" ht="46.5" customHeight="1" spans="5:7">
      <c r="E8" s="12"/>
      <c r="F8" s="11">
        <f>SUM(MonthlyExpenses8_5[CANTIDAD])</f>
        <v>0</v>
      </c>
      <c r="G8" s="11"/>
    </row>
    <row r="9" s="4" customFormat="1" ht="18.75" customHeight="1" spans="1:7">
      <c r="A9" s="12"/>
      <c r="E9" s="12"/>
      <c r="F9" s="10" t="s">
        <v>7</v>
      </c>
      <c r="G9" s="10"/>
    </row>
    <row r="10" s="4" customFormat="1" ht="3.75" customHeight="1" spans="1:7">
      <c r="A10" s="12"/>
      <c r="E10" s="12"/>
      <c r="F10"/>
      <c r="G10"/>
    </row>
    <row r="11" s="4" customFormat="1" ht="46.5" customHeight="1" spans="1:7">
      <c r="A11" s="12"/>
      <c r="E11" s="12"/>
      <c r="F11" s="11">
        <f>'MARZO 26'!TotalMonthlyIncome-'MARZO 26'!TotalMonthlyExpenses</f>
        <v>0</v>
      </c>
      <c r="G11" s="11"/>
    </row>
    <row r="12" s="4" customFormat="1" ht="18.75" customHeight="1" spans="1:7">
      <c r="A12" s="12"/>
      <c r="E12" s="12"/>
      <c r="F12" s="10" t="s">
        <v>8</v>
      </c>
      <c r="G12" s="10"/>
    </row>
    <row r="13" s="4" customFormat="1" ht="3.75" customHeight="1" spans="1:7">
      <c r="A13" s="12"/>
      <c r="E13" s="12"/>
      <c r="F13"/>
      <c r="G13"/>
    </row>
    <row r="14" s="4" customFormat="1" ht="46.5" customHeight="1" spans="1:7">
      <c r="A14" s="12"/>
      <c r="E14" s="12"/>
      <c r="F14" s="11">
        <f>SUM('FEBRERO 26'!F14+'MARZO 26'!TotalMonthlySavings)</f>
        <v>1243.07</v>
      </c>
      <c r="G14" s="11"/>
    </row>
    <row r="15" s="4" customFormat="1" ht="31.5" customHeight="1" spans="2:10">
      <c r="B15" s="8" t="s">
        <v>64</v>
      </c>
      <c r="C15" s="8"/>
      <c r="D15"/>
      <c r="E15" s="8" t="s">
        <v>65</v>
      </c>
      <c r="F15" s="8"/>
      <c r="G15" s="8"/>
      <c r="H15"/>
      <c r="I15" s="8" t="s">
        <v>11</v>
      </c>
      <c r="J15" s="8"/>
    </row>
    <row r="16" s="4" customFormat="1" ht="39.75" customHeight="1" spans="2:9">
      <c r="B16" s="13" t="s">
        <v>12</v>
      </c>
      <c r="C16" s="13" t="s">
        <v>13</v>
      </c>
      <c r="E16" s="13" t="s">
        <v>12</v>
      </c>
      <c r="F16" s="13" t="s">
        <v>13</v>
      </c>
      <c r="H16" s="13" t="s">
        <v>32</v>
      </c>
      <c r="I16" s="13" t="s">
        <v>13</v>
      </c>
    </row>
    <row r="17" ht="28" customHeight="1" spans="1:10">
      <c r="A17" s="4"/>
      <c r="B17" s="14" t="s">
        <v>17</v>
      </c>
      <c r="C17" s="15"/>
      <c r="D17" s="4"/>
      <c r="E17" s="14" t="s">
        <v>18</v>
      </c>
      <c r="F17" s="15"/>
      <c r="G17" s="4"/>
      <c r="H17" s="19"/>
      <c r="I17" s="15"/>
      <c r="J17" s="4"/>
    </row>
    <row r="18" ht="28" customHeight="1" spans="1:10">
      <c r="A18" s="4"/>
      <c r="B18" s="14" t="s">
        <v>19</v>
      </c>
      <c r="C18" s="15"/>
      <c r="D18" s="4"/>
      <c r="E18" s="14" t="s">
        <v>55</v>
      </c>
      <c r="F18" s="15"/>
      <c r="G18" s="4"/>
      <c r="H18" s="19"/>
      <c r="I18" s="15"/>
      <c r="J18" s="4"/>
    </row>
    <row r="19" ht="28" customHeight="1" spans="1:10">
      <c r="A19" s="4"/>
      <c r="B19" s="14"/>
      <c r="C19" s="15"/>
      <c r="D19" s="4"/>
      <c r="E19" s="14" t="s">
        <v>21</v>
      </c>
      <c r="F19" s="15"/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20" t="s">
        <v>29</v>
      </c>
      <c r="F20" s="15"/>
      <c r="G20" s="4"/>
      <c r="H20" s="7"/>
      <c r="I20" s="6"/>
      <c r="J20" s="4"/>
    </row>
    <row r="21" ht="28" customHeight="1" spans="1:10">
      <c r="A21" s="4"/>
      <c r="B21" s="4"/>
      <c r="C21" s="16"/>
      <c r="D21" s="4"/>
      <c r="E21" s="14" t="s">
        <v>28</v>
      </c>
      <c r="F21" s="15"/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20" t="s">
        <v>23</v>
      </c>
      <c r="F22" s="15"/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33</v>
      </c>
      <c r="F23" s="15"/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14" t="s">
        <v>34</v>
      </c>
      <c r="F24" s="15"/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26</v>
      </c>
      <c r="F25" s="15"/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</sheetData>
  <mergeCells count="8">
    <mergeCell ref="F3:G3"/>
    <mergeCell ref="F5:G5"/>
    <mergeCell ref="F6:G6"/>
    <mergeCell ref="F8:G8"/>
    <mergeCell ref="F9:G9"/>
    <mergeCell ref="F11:G11"/>
    <mergeCell ref="F12:G12"/>
    <mergeCell ref="F14:G14"/>
  </mergeCells>
  <conditionalFormatting sqref="F14:G14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8"/>
  <sheetViews>
    <sheetView showGridLines="0" tabSelected="1" zoomScale="80" zoomScaleNormal="80" workbookViewId="0">
      <selection activeCell="A1" sqref="$A1:$XFD1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3" customFormat="1" ht="40.5" customHeight="1" spans="2:11">
      <c r="B1" s="3" t="s">
        <v>1</v>
      </c>
      <c r="K1" s="3" t="s">
        <v>2</v>
      </c>
    </row>
    <row r="2" s="4" customFormat="1" ht="33" customHeight="1" spans="2:6">
      <c r="B2" s="8" t="s">
        <v>3</v>
      </c>
      <c r="F2" s="8" t="s">
        <v>4</v>
      </c>
    </row>
    <row r="3" s="4" customFormat="1" ht="18.75" customHeight="1" spans="5:7">
      <c r="E3" s="9"/>
      <c r="F3" s="10" t="s">
        <v>5</v>
      </c>
      <c r="G3" s="10"/>
    </row>
    <row r="4" s="4" customFormat="1" ht="3.75" customHeight="1" spans="5:7">
      <c r="E4" s="9"/>
      <c r="F4"/>
      <c r="G4"/>
    </row>
    <row r="5" s="4" customFormat="1" ht="46.5" customHeight="1" spans="5:10">
      <c r="E5" s="9"/>
      <c r="F5" s="11">
        <f>SUM(MonthlyIncome7[CANTIDAD])</f>
        <v>1250</v>
      </c>
      <c r="G5" s="11"/>
      <c r="I5" s="9"/>
      <c r="J5" s="17"/>
    </row>
    <row r="6" s="4" customFormat="1" ht="18.75" customHeight="1" spans="6:10">
      <c r="F6" s="10" t="s">
        <v>6</v>
      </c>
      <c r="G6" s="10"/>
      <c r="I6" s="9"/>
      <c r="J6" s="17"/>
    </row>
    <row r="7" s="4" customFormat="1" ht="3.75" customHeight="1" spans="6:10">
      <c r="F7"/>
      <c r="G7"/>
      <c r="I7" s="9"/>
      <c r="J7" s="17"/>
    </row>
    <row r="8" s="4" customFormat="1" ht="46.5" customHeight="1" spans="5:7">
      <c r="E8" s="12"/>
      <c r="F8" s="11">
        <f>SUM(MonthlyExpenses8[CANTIDAD])</f>
        <v>1353.54</v>
      </c>
      <c r="G8" s="11"/>
    </row>
    <row r="9" s="4" customFormat="1" ht="18.75" customHeight="1" spans="1:7">
      <c r="A9" s="12"/>
      <c r="E9" s="12"/>
      <c r="F9" s="10" t="s">
        <v>7</v>
      </c>
      <c r="G9" s="10"/>
    </row>
    <row r="10" s="4" customFormat="1" ht="3.75" customHeight="1" spans="1:7">
      <c r="A10" s="12"/>
      <c r="E10" s="12"/>
      <c r="F10"/>
      <c r="G10"/>
    </row>
    <row r="11" s="4" customFormat="1" ht="46.5" customHeight="1" spans="1:7">
      <c r="A11" s="12"/>
      <c r="E11" s="12"/>
      <c r="F11" s="11">
        <f>'FEBRERO 26'!TotalMonthlyIncome-'FEBRERO 26'!TotalMonthlyExpenses</f>
        <v>-103.54</v>
      </c>
      <c r="G11" s="11"/>
    </row>
    <row r="12" s="4" customFormat="1" ht="18.75" customHeight="1" spans="1:7">
      <c r="A12" s="12"/>
      <c r="E12" s="12"/>
      <c r="F12" s="10" t="s">
        <v>8</v>
      </c>
      <c r="G12" s="10"/>
    </row>
    <row r="13" s="4" customFormat="1" ht="3.75" customHeight="1" spans="1:7">
      <c r="A13" s="12"/>
      <c r="E13" s="12"/>
      <c r="F13"/>
      <c r="G13"/>
    </row>
    <row r="14" s="4" customFormat="1" ht="46.5" customHeight="1" spans="1:7">
      <c r="A14" s="12"/>
      <c r="E14" s="12"/>
      <c r="F14" s="11">
        <f>SUM('ENERO 26'!F14+'FEBRERO 26'!TotalMonthlySavings)</f>
        <v>1243.07</v>
      </c>
      <c r="G14" s="11"/>
    </row>
    <row r="15" s="4" customFormat="1" ht="31.5" customHeight="1" spans="2:10">
      <c r="B15" s="8" t="s">
        <v>66</v>
      </c>
      <c r="C15" s="8"/>
      <c r="D15"/>
      <c r="E15" s="8" t="s">
        <v>67</v>
      </c>
      <c r="F15" s="8"/>
      <c r="G15" s="8"/>
      <c r="H15"/>
      <c r="I15" s="8" t="s">
        <v>11</v>
      </c>
      <c r="J15" s="8"/>
    </row>
    <row r="16" s="4" customFormat="1" ht="39.75" customHeight="1" spans="2:9">
      <c r="B16" s="13" t="s">
        <v>12</v>
      </c>
      <c r="C16" s="13" t="s">
        <v>13</v>
      </c>
      <c r="E16" s="13" t="s">
        <v>12</v>
      </c>
      <c r="F16" s="13" t="s">
        <v>13</v>
      </c>
      <c r="H16" s="13" t="s">
        <v>32</v>
      </c>
      <c r="I16" s="13" t="s">
        <v>13</v>
      </c>
    </row>
    <row r="17" ht="28" customHeight="1" spans="1:10">
      <c r="A17" s="4"/>
      <c r="B17" s="14" t="s">
        <v>17</v>
      </c>
      <c r="C17" s="15">
        <v>750</v>
      </c>
      <c r="D17" s="4"/>
      <c r="E17" s="14" t="s">
        <v>18</v>
      </c>
      <c r="F17" s="15">
        <v>771.98</v>
      </c>
      <c r="G17" s="4"/>
      <c r="H17" s="19"/>
      <c r="I17" s="15"/>
      <c r="J17" s="4"/>
    </row>
    <row r="18" ht="28" customHeight="1" spans="1:10">
      <c r="A18" s="4"/>
      <c r="B18" s="14" t="s">
        <v>19</v>
      </c>
      <c r="C18" s="15">
        <v>500</v>
      </c>
      <c r="D18" s="4"/>
      <c r="E18" s="14" t="s">
        <v>21</v>
      </c>
      <c r="F18" s="15">
        <v>181.92</v>
      </c>
      <c r="G18" s="4"/>
      <c r="H18" s="19"/>
      <c r="I18" s="15"/>
      <c r="J18" s="4"/>
    </row>
    <row r="19" ht="28" customHeight="1" spans="1:10">
      <c r="A19" s="4"/>
      <c r="B19" s="14"/>
      <c r="C19" s="15"/>
      <c r="D19" s="4"/>
      <c r="E19" s="14" t="s">
        <v>28</v>
      </c>
      <c r="F19" s="15">
        <v>112.63</v>
      </c>
      <c r="G19" s="4"/>
      <c r="H19" s="19"/>
      <c r="I19" s="15"/>
      <c r="J19" s="4"/>
    </row>
    <row r="20" ht="28" customHeight="1" spans="1:10">
      <c r="A20" s="4"/>
      <c r="B20" s="4"/>
      <c r="C20" s="16"/>
      <c r="D20" s="4"/>
      <c r="E20" s="14" t="s">
        <v>68</v>
      </c>
      <c r="F20" s="15">
        <v>96</v>
      </c>
      <c r="G20" s="4"/>
      <c r="H20" s="7"/>
      <c r="I20" s="6"/>
      <c r="J20" s="4"/>
    </row>
    <row r="21" ht="28" customHeight="1" spans="1:10">
      <c r="A21" s="4"/>
      <c r="B21" s="4"/>
      <c r="C21" s="16"/>
      <c r="D21" s="4"/>
      <c r="E21" s="20" t="s">
        <v>23</v>
      </c>
      <c r="F21" s="15">
        <v>68.68</v>
      </c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69</v>
      </c>
      <c r="F22" s="15">
        <v>42.12</v>
      </c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27</v>
      </c>
      <c r="F23" s="15">
        <v>40.97</v>
      </c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20" t="s">
        <v>70</v>
      </c>
      <c r="F24" s="15">
        <v>15.25</v>
      </c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20" t="s">
        <v>29</v>
      </c>
      <c r="F25" s="15">
        <v>13.99</v>
      </c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20" t="s">
        <v>26</v>
      </c>
      <c r="F26" s="15">
        <v>10</v>
      </c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</sheetData>
  <mergeCells count="8">
    <mergeCell ref="F3:G3"/>
    <mergeCell ref="F5:G5"/>
    <mergeCell ref="F6:G6"/>
    <mergeCell ref="F8:G8"/>
    <mergeCell ref="F9:G9"/>
    <mergeCell ref="F11:G11"/>
    <mergeCell ref="F12:G12"/>
    <mergeCell ref="F14:G14"/>
  </mergeCells>
  <conditionalFormatting sqref="F14:G14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3" tint="0.249977111117893"/>
    <pageSetUpPr fitToPage="1"/>
  </sheetPr>
  <dimension ref="A1:K29"/>
  <sheetViews>
    <sheetView showGridLines="0" zoomScale="80" zoomScaleNormal="80" workbookViewId="0">
      <selection activeCell="F5" sqref="F5:G5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3" customFormat="1" ht="40.5" customHeight="1" spans="2:11">
      <c r="B1" s="3" t="s">
        <v>1</v>
      </c>
      <c r="K1" s="3" t="s">
        <v>2</v>
      </c>
    </row>
    <row r="2" s="4" customFormat="1" ht="33" customHeight="1" spans="2:6">
      <c r="B2" s="8" t="s">
        <v>3</v>
      </c>
      <c r="F2" s="8" t="s">
        <v>4</v>
      </c>
    </row>
    <row r="3" s="4" customFormat="1" ht="18.75" customHeight="1" spans="5:7">
      <c r="E3" s="9"/>
      <c r="F3" s="10" t="s">
        <v>5</v>
      </c>
      <c r="G3" s="10"/>
    </row>
    <row r="4" s="4" customFormat="1" ht="3.75" customHeight="1" spans="5:7">
      <c r="E4" s="9"/>
      <c r="F4"/>
      <c r="G4"/>
    </row>
    <row r="5" s="4" customFormat="1" ht="46.5" customHeight="1" spans="5:10">
      <c r="E5" s="9"/>
      <c r="F5" s="11">
        <f>SUM(MonthlyIncome[CANTIDAD])</f>
        <v>1250</v>
      </c>
      <c r="G5" s="11"/>
      <c r="I5" s="9"/>
      <c r="J5" s="17"/>
    </row>
    <row r="6" s="4" customFormat="1" ht="18.75" customHeight="1" spans="6:10">
      <c r="F6" s="10" t="s">
        <v>6</v>
      </c>
      <c r="G6" s="10"/>
      <c r="I6" s="9"/>
      <c r="J6" s="17"/>
    </row>
    <row r="7" s="4" customFormat="1" ht="3.75" customHeight="1" spans="6:10">
      <c r="F7"/>
      <c r="G7"/>
      <c r="I7" s="9"/>
      <c r="J7" s="17"/>
    </row>
    <row r="8" s="4" customFormat="1" ht="46.5" customHeight="1" spans="5:7">
      <c r="E8" s="12"/>
      <c r="F8" s="11">
        <f>SUM(MonthlyExpenses[CANTIDAD])</f>
        <v>1335.39</v>
      </c>
      <c r="G8" s="11"/>
    </row>
    <row r="9" s="4" customFormat="1" ht="18.75" customHeight="1" spans="1:7">
      <c r="A9" s="12"/>
      <c r="E9" s="12"/>
      <c r="F9" s="10" t="s">
        <v>7</v>
      </c>
      <c r="G9" s="10"/>
    </row>
    <row r="10" s="4" customFormat="1" ht="3.75" customHeight="1" spans="1:7">
      <c r="A10" s="12"/>
      <c r="E10" s="12"/>
      <c r="F10"/>
      <c r="G10"/>
    </row>
    <row r="11" s="4" customFormat="1" ht="46.5" customHeight="1" spans="1:7">
      <c r="A11" s="12"/>
      <c r="E11" s="12"/>
      <c r="F11" s="11">
        <f>F5-F8</f>
        <v>-85.3900000000001</v>
      </c>
      <c r="G11" s="11"/>
    </row>
    <row r="12" s="4" customFormat="1" ht="18.75" customHeight="1" spans="1:7">
      <c r="A12" s="12"/>
      <c r="E12" s="12"/>
      <c r="F12" s="10" t="s">
        <v>8</v>
      </c>
      <c r="G12" s="10"/>
    </row>
    <row r="13" s="4" customFormat="1" ht="3.75" customHeight="1" spans="1:7">
      <c r="A13" s="12"/>
      <c r="E13" s="12"/>
      <c r="F13"/>
      <c r="G13"/>
    </row>
    <row r="14" s="4" customFormat="1" ht="46.5" customHeight="1" spans="1:7">
      <c r="A14" s="12"/>
      <c r="E14" s="12"/>
      <c r="F14" s="11">
        <f>SUM(I16+TotalMonthlySavings)</f>
        <v>1346.61</v>
      </c>
      <c r="G14" s="11"/>
    </row>
    <row r="15" s="4" customFormat="1" ht="31.5" customHeight="1" spans="2:10">
      <c r="B15" s="8" t="s">
        <v>71</v>
      </c>
      <c r="C15" s="8"/>
      <c r="D15"/>
      <c r="E15" s="8" t="s">
        <v>72</v>
      </c>
      <c r="F15" s="8"/>
      <c r="G15" s="8"/>
      <c r="H15"/>
      <c r="I15" s="8" t="s">
        <v>73</v>
      </c>
      <c r="J15" s="8"/>
    </row>
    <row r="16" s="4" customFormat="1" ht="39.75" customHeight="1" spans="2:9">
      <c r="B16" s="13" t="s">
        <v>12</v>
      </c>
      <c r="C16" s="13" t="s">
        <v>13</v>
      </c>
      <c r="E16" s="13" t="s">
        <v>12</v>
      </c>
      <c r="F16" s="13" t="s">
        <v>13</v>
      </c>
      <c r="I16" s="18">
        <v>1432</v>
      </c>
    </row>
    <row r="17" ht="28" customHeight="1" spans="1:10">
      <c r="A17" s="4"/>
      <c r="B17" s="14" t="s">
        <v>17</v>
      </c>
      <c r="C17" s="15">
        <v>750</v>
      </c>
      <c r="D17" s="4"/>
      <c r="E17" s="14" t="s">
        <v>18</v>
      </c>
      <c r="F17" s="15">
        <v>771.98</v>
      </c>
      <c r="G17" s="4"/>
      <c r="H17" s="4"/>
      <c r="I17" s="5"/>
      <c r="J17" s="5"/>
    </row>
    <row r="18" ht="28" customHeight="1" spans="1:10">
      <c r="A18" s="4"/>
      <c r="B18" s="14" t="s">
        <v>19</v>
      </c>
      <c r="C18" s="15">
        <v>500</v>
      </c>
      <c r="D18" s="4"/>
      <c r="E18" s="14" t="s">
        <v>21</v>
      </c>
      <c r="F18" s="15">
        <v>202.26</v>
      </c>
      <c r="G18" s="4"/>
      <c r="H18" s="4"/>
      <c r="I18" s="5"/>
      <c r="J18" s="5"/>
    </row>
    <row r="19" ht="28" customHeight="1" spans="1:10">
      <c r="A19" s="4"/>
      <c r="B19" s="14"/>
      <c r="C19" s="15"/>
      <c r="D19" s="4"/>
      <c r="E19" s="14" t="s">
        <v>28</v>
      </c>
      <c r="F19" s="15">
        <v>170.4</v>
      </c>
      <c r="G19" s="4"/>
      <c r="H19" s="4"/>
      <c r="I19" s="5"/>
      <c r="J19" s="5"/>
    </row>
    <row r="20" ht="28" customHeight="1" spans="1:10">
      <c r="A20" s="4"/>
      <c r="B20" s="4"/>
      <c r="C20" s="16"/>
      <c r="D20" s="4"/>
      <c r="E20" s="14" t="s">
        <v>74</v>
      </c>
      <c r="F20" s="15">
        <v>50</v>
      </c>
      <c r="G20" s="4"/>
      <c r="H20" s="7"/>
      <c r="I20" s="6"/>
      <c r="J20" s="4"/>
    </row>
    <row r="21" ht="28" customHeight="1" spans="1:10">
      <c r="A21" s="4"/>
      <c r="B21" s="4"/>
      <c r="C21" s="16"/>
      <c r="D21" s="4"/>
      <c r="E21" s="14" t="s">
        <v>23</v>
      </c>
      <c r="F21" s="15">
        <v>48.07</v>
      </c>
      <c r="G21" s="4"/>
      <c r="H21" s="7"/>
      <c r="I21" s="6"/>
      <c r="J21" s="4"/>
    </row>
    <row r="22" ht="28" customHeight="1" spans="1:10">
      <c r="A22" s="4"/>
      <c r="B22" s="4"/>
      <c r="C22" s="16"/>
      <c r="D22" s="4"/>
      <c r="E22" s="14" t="s">
        <v>34</v>
      </c>
      <c r="F22" s="15">
        <v>33.35</v>
      </c>
      <c r="G22" s="4"/>
      <c r="H22" s="7"/>
      <c r="I22" s="6"/>
      <c r="J22" s="4"/>
    </row>
    <row r="23" ht="28" customHeight="1" spans="1:10">
      <c r="A23" s="4"/>
      <c r="B23" s="4"/>
      <c r="C23" s="16"/>
      <c r="D23" s="4"/>
      <c r="E23" s="14" t="s">
        <v>35</v>
      </c>
      <c r="F23" s="15">
        <v>19.21</v>
      </c>
      <c r="G23" s="4"/>
      <c r="H23" s="7"/>
      <c r="I23" s="6"/>
      <c r="J23" s="4"/>
    </row>
    <row r="24" ht="28" customHeight="1" spans="1:10">
      <c r="A24" s="4"/>
      <c r="B24" s="4"/>
      <c r="C24" s="16"/>
      <c r="D24" s="4"/>
      <c r="E24" s="4" t="s">
        <v>20</v>
      </c>
      <c r="F24" s="15">
        <v>16.18</v>
      </c>
      <c r="G24" s="4"/>
      <c r="H24" s="7"/>
      <c r="I24" s="6"/>
      <c r="J24" s="4"/>
    </row>
    <row r="25" ht="28" customHeight="1" spans="1:10">
      <c r="A25" s="4"/>
      <c r="B25" s="4"/>
      <c r="C25" s="16"/>
      <c r="D25" s="4"/>
      <c r="E25" s="4" t="s">
        <v>29</v>
      </c>
      <c r="F25" s="15">
        <v>13.94</v>
      </c>
      <c r="G25" s="4"/>
      <c r="H25" s="7"/>
      <c r="I25" s="6"/>
      <c r="J25" s="4"/>
    </row>
    <row r="26" ht="28" customHeight="1" spans="1:10">
      <c r="A26" s="4"/>
      <c r="B26" s="4"/>
      <c r="C26" s="16"/>
      <c r="D26" s="4"/>
      <c r="E26" s="14" t="s">
        <v>26</v>
      </c>
      <c r="F26" s="15">
        <v>10</v>
      </c>
      <c r="G26" s="4"/>
      <c r="H26" s="7"/>
      <c r="I26" s="6"/>
      <c r="J26" s="4"/>
    </row>
    <row r="27" ht="28" customHeight="1" spans="1:10">
      <c r="A27" s="4"/>
      <c r="B27" s="4"/>
      <c r="C27" s="16"/>
      <c r="D27" s="4"/>
      <c r="E27" s="14"/>
      <c r="F27" s="15"/>
      <c r="G27" s="4"/>
      <c r="H27" s="7"/>
      <c r="I27" s="6"/>
      <c r="J27" s="4"/>
    </row>
    <row r="28" ht="28" customHeight="1" spans="1:10">
      <c r="A28" s="4"/>
      <c r="B28" s="4"/>
      <c r="C28" s="16"/>
      <c r="D28" s="4"/>
      <c r="G28" s="4"/>
      <c r="H28" s="7"/>
      <c r="I28" s="6"/>
      <c r="J28" s="4"/>
    </row>
    <row r="29" ht="28" customHeight="1" spans="1:10">
      <c r="A29" s="4"/>
      <c r="B29" s="4"/>
      <c r="C29" s="16"/>
      <c r="D29" s="4"/>
      <c r="G29" s="4"/>
      <c r="H29" s="7"/>
      <c r="I29" s="6"/>
      <c r="J29" s="4"/>
    </row>
  </sheetData>
  <mergeCells count="8">
    <mergeCell ref="F3:G3"/>
    <mergeCell ref="F5:G5"/>
    <mergeCell ref="F6:G6"/>
    <mergeCell ref="F8:G8"/>
    <mergeCell ref="F9:G9"/>
    <mergeCell ref="F11:G11"/>
    <mergeCell ref="F12:G12"/>
    <mergeCell ref="F14:G14"/>
  </mergeCells>
  <conditionalFormatting sqref="F14:G14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A1:B6"/>
  <sheetViews>
    <sheetView workbookViewId="0">
      <selection activeCell="A1" sqref="A1"/>
    </sheetView>
  </sheetViews>
  <sheetFormatPr defaultColWidth="9.16190476190476" defaultRowHeight="13.5" outlineLevelRow="5" outlineLevelCol="1"/>
  <cols>
    <col min="1" max="1" width="1.66666666666667" customWidth="1"/>
  </cols>
  <sheetData>
    <row r="1" ht="16.5" spans="1:1">
      <c r="A1" s="1" t="s">
        <v>0</v>
      </c>
    </row>
    <row r="2" spans="2:2">
      <c r="B2" t="s">
        <v>75</v>
      </c>
    </row>
    <row r="4" spans="2:2">
      <c r="B4" s="2">
        <f>MIN(1-B5,1)</f>
        <v>0</v>
      </c>
    </row>
    <row r="5" spans="2:2">
      <c r="B5" s="2">
        <f>MIN(TotalMonthlyExpenses/TotalMonthlyIncome,1)</f>
        <v>1</v>
      </c>
    </row>
    <row r="6" spans="2:2">
      <c r="B6" t="b">
        <f>(TotalMonthlyExpenses/TotalMonthlyIncome)&gt;1</f>
        <v>1</v>
      </c>
    </row>
  </sheetData>
  <hyperlinks>
    <hyperlink ref="A1" location="'Hoja14'!A1" display="Volver al directorio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DICIEMBRE 26</vt:lpstr>
      <vt:lpstr>NOVIEMBRE 26</vt:lpstr>
      <vt:lpstr>OCTUBRE 26</vt:lpstr>
      <vt:lpstr>SEPTIEMBRE 26</vt:lpstr>
      <vt:lpstr>AGOSTO 26</vt:lpstr>
      <vt:lpstr>JULIO 26</vt:lpstr>
      <vt:lpstr>JUNIO 26</vt:lpstr>
      <vt:lpstr>MAYO 26</vt:lpstr>
      <vt:lpstr>ABRIL 26</vt:lpstr>
      <vt:lpstr>MARZO 26</vt:lpstr>
      <vt:lpstr>FEBRERO 26</vt:lpstr>
      <vt:lpstr>ENERO 26</vt:lpstr>
      <vt:lpstr>Datos del gráfico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 Saz Carrion</dc:creator>
  <cp:lastModifiedBy>Diego del Saz</cp:lastModifiedBy>
  <dcterms:created xsi:type="dcterms:W3CDTF">2014-09-09T12:15:00Z</dcterms:created>
  <dcterms:modified xsi:type="dcterms:W3CDTF">2026-03-01T20:44:16Z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A200C3B7AE9146B4A3FE245F7FCF4E49_12</vt:lpwstr>
  </property>
  <property fmtid="{D5CDD505-2E9C-101B-9397-08002B2CF9AE}" pid="3" name="KSOProductBuildVer">
    <vt:lpwstr>3082-12.2.0.23196</vt:lpwstr>
  </property>
  <property fmtid="{D5CDD505-2E9C-101B-9397-08002B2CF9AE}" pid="4" name="KSOReadingLayout">
    <vt:bool>false</vt:bool>
  </property>
</Properties>
</file>